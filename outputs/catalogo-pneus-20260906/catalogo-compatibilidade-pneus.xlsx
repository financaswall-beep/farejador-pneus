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35350a15e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" sheetId="1" r:id="R691acbdf1ad34132"/>
    <x:sheet xmlns:r="http://schemas.openxmlformats.org/officeDocument/2006/relationships" name="Por pneu" sheetId="2" r:id="Rbfbd61f9c6214621"/>
    <x:sheet xmlns:r="http://schemas.openxmlformats.org/officeDocument/2006/relationships" name="Fontes" sheetId="3" r:id="R08a8d496e596435b"/>
    <x:sheet xmlns:r="http://schemas.openxmlformats.org/officeDocument/2006/relationships" name="Leia-me" sheetId="4" r:id="R3e001e2d567845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"/>
  </x:numFmts>
  <x:fonts count="5">
    <x:font>
      <x:sz val="11"/>
      <x:name val="Carlito"/>
    </x:font>
    <x:font>
      <x:sz val="10"/>
      <x:color rgb="FF203244"/>
      <x:name val="Arial"/>
    </x:font>
    <x:font>
      <x:b/>
      <x:sz val="17"/>
      <x:color rgb="FFFFFFFF"/>
      <x:name val="Arial"/>
    </x:font>
    <x:font>
      <x:b/>
      <x:sz val="10"/>
      <x:color rgb="FFFFFFFF"/>
      <x:name val="Arial"/>
    </x:font>
    <x:font>
      <x:sz val="10"/>
      <x:color rgb="FF176398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EEF3"/>
      </x:patternFill>
    </x:fill>
    <x:fill>
      <x:patternFill patternType="solid">
        <x:fgColor rgb="FF215B86"/>
      </x:patternFill>
    </x:fill>
    <x:fill>
      <x:patternFill patternType="solid">
        <x:fgColor rgb="FFF2F5F8"/>
      </x:patternFill>
    </x:fill>
    <x:fill>
      <x:patternFill patternType="solid">
        <x:fgColor rgb="FFFFFFFF"/>
      </x:patternFill>
    </x:fill>
    <x:fill>
      <x:patternFill patternType="solid">
        <x:fgColor rgb="FFFFF0CB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2" fontId="1" fillId="6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170936c9c5451c" /><Relationship Type="http://schemas.openxmlformats.org/officeDocument/2006/relationships/theme" Target="/xl/theme/theme1.xml" Id="R65c6afb0c8d64ea1" /><Relationship Type="http://schemas.openxmlformats.org/officeDocument/2006/relationships/sharedStrings" Target="/xl/sharedStrings.xml" Id="R0f211d20d4f6432b" /><Relationship Type="http://schemas.openxmlformats.org/officeDocument/2006/relationships/worksheet" Target="/xl/worksheets/sheet1.xml" Id="R691acbdf1ad34132" /><Relationship Type="http://schemas.openxmlformats.org/officeDocument/2006/relationships/worksheet" Target="/xl/worksheets/sheet2.xml" Id="Rbfbd61f9c6214621" /><Relationship Type="http://schemas.openxmlformats.org/officeDocument/2006/relationships/worksheet" Target="/xl/worksheets/sheet3.xml" Id="R08a8d496e596435b" /><Relationship Type="http://schemas.openxmlformats.org/officeDocument/2006/relationships/worksheet" Target="/xl/worksheets/sheet4.xml" Id="R3e001e2d56784531" /></Relationships>
</file>

<file path=xl/tables/table1.xml><?xml version="1.0" encoding="utf-8"?>
<x:table xmlns:x="http://schemas.openxmlformats.org/spreadsheetml/2006/main" id="1" name="CatalogoAplicacoes" displayName="CatalogoAplicacoes" ref="A4:I87" headerRowCount="1" totalsRowCount="0" totalsRowShown="0">
  <x:autoFilter ref="A4:I87"/>
  <x:tableColumns count="9">
    <x:tableColumn id="1" name="Marca"/>
    <x:tableColumn id="2" name="Modelo / versão"/>
    <x:tableColumn id="3" name="Ano ou referência"/>
    <x:tableColumn id="4" name="Dianteiro"/>
    <x:tableColumn id="5" name="Traseiro"/>
    <x:tableColumn id="6" name="Validação da fonte"/>
    <x:tableColumn id="7" name="Fontes"/>
    <x:tableColumn id="8" name="Observações de aplicação"/>
    <x:tableColumn id="9" name="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neusPorPosicao" displayName="PneusPorPosicao" ref="A4:Q169" headerRowCount="1" totalsRowCount="0" totalsRowShown="0">
  <x:autoFilter ref="A4:Q169"/>
  <x:tableColumns count="17">
    <x:tableColumn id="1" name="Aro (pol.)"/>
    <x:tableColumn id="2" name="Medida completa"/>
    <x:tableColumn id="3" name="Posição"/>
    <x:tableColumn id="4" name="Marca"/>
    <x:tableColumn id="5" name="Modelo / versão"/>
    <x:tableColumn id="6" name="Ano ou referência"/>
    <x:tableColumn id="7" name="Largura (mm)"/>
    <x:tableColumn id="8" name="Perfil (%)"/>
    <x:tableColumn id="9" name="Largura (pol.)"/>
    <x:tableColumn id="10" name="Construção / notação"/>
    <x:tableColumn id="11" name="Índice na fonte"/>
    <x:tableColumn id="12" name="Montagem"/>
    <x:tableColumn id="13" name="Validação da fonte"/>
    <x:tableColumn id="14" name="Fontes"/>
    <x:tableColumn id="15" name="Alternativa"/>
    <x:tableColumn id="16" name="Observações"/>
    <x:tableColumn id="17" name="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ntesPesquisa" displayName="FontesPesquisa" ref="A4:F81" headerRowCount="1" totalsRowCount="0" totalsRowShown="0">
  <x:autoFilter ref="A4:F81"/>
  <x:tableColumns count="6">
    <x:tableColumn id="1" name="Fonte"/>
    <x:tableColumn id="2" name="Tipo de documento"/>
    <x:tableColumn id="3" name="Mercado / escopo"/>
    <x:tableColumn id="4" name="Modelos referenciados"/>
    <x:tableColumn id="5" name="URL pública"/>
    <x:tableColumn id="6" name="Consult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iteriosCatalogo" displayName="CriteriosCatalogo" ref="A4:B27" headerRowCount="1" totalsRowCount="0" totalsRowShown="0">
  <x:autoFilter ref="A4:B27"/>
  <x:tableColumns count="2">
    <x:tableColumn id="1" name="Item"/>
    <x:tableColumn id="2" name="Critério / resul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6956ca584444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7f43c6b1c844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d54abe6a6f4d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ec9f0768fc54bb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22" hidden="0" customWidth="1"/>
    <x:col min="5" max="5" width="26" hidden="0" customWidth="1"/>
    <x:col min="6" max="6" width="31" hidden="0" customWidth="1"/>
    <x:col min="7" max="7" width="14" hidden="0" customWidth="1"/>
    <x:col min="8" max="8" width="78" hidden="0" customWidth="1"/>
    <x:col min="9" max="9" width="9" hidden="0" customWidth="1"/>
  </x:cols>
  <x:sheetData>
    <x:row r="1" ht="34" customHeight="1">
      <x:c r="A1" s="5" t="str">
        <x:v>FAREJADOR | Catálogo de aplicações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6" t="str">
        <x:v>Pesquisa em 06/09/2026 • 83 configurações de modelo/versão • consulta inicial, não autorização de montagem nem seed para produção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0" customHeight="1">
      <x:c r="A4" s="8" t="str">
        <x:v>Marca</x:v>
      </x:c>
      <x:c r="B4" s="8" t="str">
        <x:v>Modelo / versão</x:v>
      </x:c>
      <x:c r="C4" s="8" t="str">
        <x:v>Ano ou referência</x:v>
      </x:c>
      <x:c r="D4" s="8" t="str">
        <x:v>Dianteiro</x:v>
      </x:c>
      <x:c r="E4" s="8" t="str">
        <x:v>Traseiro</x:v>
      </x:c>
      <x:c r="F4" s="8" t="str">
        <x:v>Validação da fonte</x:v>
      </x:c>
      <x:c r="G4" s="8" t="str">
        <x:v>Fontes</x:v>
      </x:c>
      <x:c r="H4" s="8" t="str">
        <x:v>Observações de aplicação</x:v>
      </x:c>
      <x:c r="I4" s="8" t="str">
        <x:v>ID</x:v>
      </x:c>
    </x:row>
    <x:row r="5" ht="48" customHeight="1">
      <x:c r="A5" s="9" t="str">
        <x:v>Bajaj</x:v>
      </x:c>
      <x:c r="B5" s="9" t="str">
        <x:v>Dominar 160</x:v>
      </x:c>
      <x:c r="C5" s="9" t="str">
        <x:v>Produção anunciada em 30/04/2026</x:v>
      </x:c>
      <x:c r="D5" s="12" t="str">
        <x:v>100/80-17</x:v>
      </x:c>
      <x:c r="E5" s="12" t="str">
        <x:v>130/70-17</x:v>
      </x:c>
      <x:c r="F5" s="9" t="str">
        <x:v>Medida confirmada na fonte</x:v>
      </x:c>
      <x:c r="G5" s="9" t="str">
        <x:v>S042</x:v>
      </x:c>
      <x:c r="H5" s="9" t="str">
        <x:v>Pirelli Sport Demon. Não estender automaticamente a lotes anteriores.</x:v>
      </x:c>
      <x:c r="I5" s="9" t="str">
        <x:v>M045</x:v>
      </x:c>
    </x:row>
    <x:row r="6" ht="48" customHeight="1">
      <x:c r="A6" s="10" t="str">
        <x:v>Bajaj</x:v>
      </x:c>
      <x:c r="B6" s="10" t="str">
        <x:v>Dominar 200</x:v>
      </x:c>
      <x:c r="C6" s="10" t="str">
        <x:v>Produção anunciada em 30/04/2026</x:v>
      </x:c>
      <x:c r="D6" s="13" t="str">
        <x:v>100/80-17</x:v>
      </x:c>
      <x:c r="E6" s="13" t="str">
        <x:v>130/70-17</x:v>
      </x:c>
      <x:c r="F6" s="10" t="str">
        <x:v>Medida confirmada na fonte</x:v>
      </x:c>
      <x:c r="G6" s="10" t="str">
        <x:v>S042</x:v>
      </x:c>
      <x:c r="H6" s="10" t="str">
        <x:v>Pirelli Sport Demon. Não estender automaticamente a lotes anteriores.</x:v>
      </x:c>
      <x:c r="I6" s="10" t="str">
        <x:v>M046</x:v>
      </x:c>
    </x:row>
    <x:row r="7" ht="48" customHeight="1">
      <x:c r="A7" s="9" t="str">
        <x:v>Bajaj</x:v>
      </x:c>
      <x:c r="B7" s="9" t="str">
        <x:v>Dominar 250</x:v>
      </x:c>
      <x:c r="C7" s="9" t="str">
        <x:v>Produção anunciada em 30/04/2026</x:v>
      </x:c>
      <x:c r="D7" s="12" t="str">
        <x:v>100/80-17</x:v>
      </x:c>
      <x:c r="E7" s="12" t="str">
        <x:v>130/70-17</x:v>
      </x:c>
      <x:c r="F7" s="9" t="str">
        <x:v>Medida confirmada na fonte</x:v>
      </x:c>
      <x:c r="G7" s="9" t="str">
        <x:v>S042</x:v>
      </x:c>
      <x:c r="H7" s="9" t="str">
        <x:v>Pirelli Sport Demon. Não estender automaticamente a lotes anteriores.</x:v>
      </x:c>
      <x:c r="I7" s="9" t="str">
        <x:v>M047</x:v>
      </x:c>
    </x:row>
    <x:row r="8" ht="48" customHeight="1">
      <x:c r="A8" s="10" t="str">
        <x:v>Bajaj</x:v>
      </x:c>
      <x:c r="B8" s="10" t="str">
        <x:v>Dominar 400</x:v>
      </x:c>
      <x:c r="C8" s="10" t="str">
        <x:v>Produção anunciada em 30/04/2026</x:v>
      </x:c>
      <x:c r="D8" s="13" t="str">
        <x:v>110/70R17</x:v>
      </x:c>
      <x:c r="E8" s="13" t="str">
        <x:v>150/60R17</x:v>
      </x:c>
      <x:c r="F8" s="10" t="str">
        <x:v>Medida confirmada na fonte</x:v>
      </x:c>
      <x:c r="G8" s="10" t="str">
        <x:v>S042</x:v>
      </x:c>
      <x:c r="H8" s="10" t="str">
        <x:v>Pirelli Diablo Rosso III.</x:v>
      </x:c>
      <x:c r="I8" s="10" t="str">
        <x:v>M048</x:v>
      </x:c>
    </x:row>
    <x:row r="9" ht="48" customHeight="1">
      <x:c r="A9" s="9" t="str">
        <x:v>Bajaj</x:v>
      </x:c>
      <x:c r="B9" s="9" t="str">
        <x:v>Dominar NS400Z</x:v>
      </x:c>
      <x:c r="C9" s="9" t="str">
        <x:v>Produção anunciada em 30/04/2026</x:v>
      </x:c>
      <x:c r="D9" s="12" t="str">
        <x:v>110/70R17</x:v>
      </x:c>
      <x:c r="E9" s="12" t="str">
        <x:v>140/70R17</x:v>
      </x:c>
      <x:c r="F9" s="9" t="str">
        <x:v>Medida confirmada na fonte</x:v>
      </x:c>
      <x:c r="G9" s="9" t="str">
        <x:v>S042</x:v>
      </x:c>
      <x:c r="H9" s="9" t="str">
        <x:v>Metzeler Sportec M9 RR. Traseiro diferente da Dominar 400.</x:v>
      </x:c>
      <x:c r="I9" s="9" t="str">
        <x:v>M049</x:v>
      </x:c>
    </x:row>
    <x:row r="10" ht="48" customHeight="1">
      <x:c r="A10" s="10" t="str">
        <x:v>Bajaj</x:v>
      </x:c>
      <x:c r="B10" s="10" t="str">
        <x:v>Pulsar N150</x:v>
      </x:c>
      <x:c r="C10" s="10" t="str">
        <x:v>Produção anunciada em 30/04/2026</x:v>
      </x:c>
      <x:c r="D10" s="13" t="str">
        <x:v>90/90-17</x:v>
      </x:c>
      <x:c r="E10" s="13" t="str">
        <x:v>120/80-17</x:v>
      </x:c>
      <x:c r="F10" s="10" t="str">
        <x:v>Medida confirmada na fonte</x:v>
      </x:c>
      <x:c r="G10" s="10" t="str">
        <x:v>S042</x:v>
      </x:c>
      <x:c r="H10" s="10" t="str">
        <x:v>Pirelli Sport Demon. Comunicado não delimita todos os anos-modelo.</x:v>
      </x:c>
      <x:c r="I10" s="10" t="str">
        <x:v>M044</x:v>
      </x:c>
    </x:row>
    <x:row r="11" ht="48" customHeight="1">
      <x:c r="A11" s="9" t="str">
        <x:v>BMW</x:v>
      </x:c>
      <x:c r="B11" s="9" t="str">
        <x:v>R 1250 GS</x:v>
      </x:c>
      <x:c r="C11" s="9" t="str">
        <x:v>Não delimitado na fonte</x:v>
      </x:c>
      <x:c r="D11" s="12" t="str">
        <x:v>120/70R19</x:v>
      </x:c>
      <x:c r="E11" s="12" t="str">
        <x:v>170/60R17</x:v>
      </x:c>
      <x:c r="F11" s="9" t="str">
        <x:v>Medida confirmada na fonte</x:v>
      </x:c>
      <x:c r="G11" s="9" t="str">
        <x:v>S074</x:v>
      </x:c>
      <x:c r="H11" s="9" t="str"/>
      <x:c r="I11" s="9" t="str">
        <x:v>M079</x:v>
      </x:c>
    </x:row>
    <x:row r="12" ht="48" customHeight="1">
      <x:c r="A12" s="10" t="str">
        <x:v>Dafra / SYM</x:v>
      </x:c>
      <x:c r="B12" s="10" t="str">
        <x:v>Citycom HD 300</x:v>
      </x:c>
      <x:c r="C12" s="10" t="str">
        <x:v>Não delimitado na fonte</x:v>
      </x:c>
      <x:c r="D12" s="13" t="str">
        <x:v>110/70-16</x:v>
      </x:c>
      <x:c r="E12" s="13" t="str">
        <x:v>130/70-16</x:v>
      </x:c>
      <x:c r="F12" s="10" t="str">
        <x:v>Medida confirmada na fonte</x:v>
      </x:c>
      <x:c r="G12" s="10" t="str">
        <x:v>S057</x:v>
      </x:c>
      <x:c r="H12" s="10" t="str">
        <x:v>PDF p.21; aplicação separada da Citycom S.</x:v>
      </x:c>
      <x:c r="I12" s="10" t="str">
        <x:v>M063</x:v>
      </x:c>
    </x:row>
    <x:row r="13" ht="48" customHeight="1">
      <x:c r="A13" s="9" t="str">
        <x:v>Dafra / SYM</x:v>
      </x:c>
      <x:c r="B13" s="9" t="str">
        <x:v>Citycom S 300i CBS</x:v>
      </x:c>
      <x:c r="C13" s="9" t="str">
        <x:v>Não delimitado na fonte</x:v>
      </x:c>
      <x:c r="D13" s="12" t="str">
        <x:v>110/70-16</x:v>
      </x:c>
      <x:c r="E13" s="12" t="str">
        <x:v>130/70-16</x:v>
      </x:c>
      <x:c r="F13" s="9" t="str">
        <x:v>Medida confirmada na fonte</x:v>
      </x:c>
      <x:c r="G13" s="9" t="str">
        <x:v>S056</x:v>
      </x:c>
      <x:c r="H13" s="9" t="str">
        <x:v>PDF p.17; ambos os pneus aro 16.</x:v>
      </x:c>
      <x:c r="I13" s="9" t="str">
        <x:v>M062</x:v>
      </x:c>
    </x:row>
    <x:row r="14" ht="48" customHeight="1">
      <x:c r="A14" s="10" t="str">
        <x:v>Dafra / SYM</x:v>
      </x:c>
      <x:c r="B14" s="10" t="str">
        <x:v>Cruisym 150</x:v>
      </x:c>
      <x:c r="C14" s="10" t="str">
        <x:v>Não delimitado na fonte</x:v>
      </x:c>
      <x:c r="D14" s="13" t="str">
        <x:v>90/90-14</x:v>
      </x:c>
      <x:c r="E14" s="13" t="str">
        <x:v>100/90-14</x:v>
      </x:c>
      <x:c r="F14" s="10" t="str">
        <x:v>Medida confirmada na fonte</x:v>
      </x:c>
      <x:c r="G14" s="10" t="str">
        <x:v>S065</x:v>
      </x:c>
      <x:c r="H14" s="10" t="str"/>
      <x:c r="I14" s="10" t="str">
        <x:v>M070</x:v>
      </x:c>
    </x:row>
    <x:row r="15" ht="48" customHeight="1">
      <x:c r="A15" s="9" t="str">
        <x:v>Dafra / SYM</x:v>
      </x:c>
      <x:c r="B15" s="9" t="str">
        <x:v>Cruisym 300</x:v>
      </x:c>
      <x:c r="C15" s="9" t="str">
        <x:v>2027</x:v>
      </x:c>
      <x:c r="D15" s="12" t="str">
        <x:v>120/70-14</x:v>
      </x:c>
      <x:c r="E15" s="12" t="str">
        <x:v>140/60-13</x:v>
      </x:c>
      <x:c r="F15" s="9" t="str">
        <x:v>Medida confirmada na fonte</x:v>
      </x:c>
      <x:c r="G15" s="9" t="str">
        <x:v>S064</x:v>
      </x:c>
      <x:c r="H15" s="9" t="str"/>
      <x:c r="I15" s="9" t="str">
        <x:v>M069</x:v>
      </x:c>
    </x:row>
    <x:row r="16" ht="48" customHeight="1">
      <x:c r="A16" s="10" t="str">
        <x:v>Dafra / SYM</x:v>
      </x:c>
      <x:c r="B16" s="10" t="str">
        <x:v>Joyride 300</x:v>
      </x:c>
      <x:c r="C16" s="10" t="str">
        <x:v>2025</x:v>
      </x:c>
      <x:c r="D16" s="13" t="str">
        <x:v>120/70-15</x:v>
      </x:c>
      <x:c r="E16" s="13" t="str">
        <x:v>140/70-14</x:v>
      </x:c>
      <x:c r="F16" s="10" t="str">
        <x:v>Medida confirmada na fonte</x:v>
      </x:c>
      <x:c r="G16" s="10" t="str">
        <x:v>S062</x:v>
      </x:c>
      <x:c r="H16" s="10" t="str"/>
      <x:c r="I16" s="10" t="str">
        <x:v>M067</x:v>
      </x:c>
    </x:row>
    <x:row r="17" ht="48" customHeight="1">
      <x:c r="A17" s="9" t="str">
        <x:v>Dafra / SYM</x:v>
      </x:c>
      <x:c r="B17" s="9" t="str">
        <x:v>Joyride 300</x:v>
      </x:c>
      <x:c r="C17" s="9" t="str">
        <x:v>2027</x:v>
      </x:c>
      <x:c r="D17" s="12" t="str">
        <x:v>120/70-15</x:v>
      </x:c>
      <x:c r="E17" s="12" t="str">
        <x:v>140/70-14</x:v>
      </x:c>
      <x:c r="F17" s="9" t="str">
        <x:v>Medida confirmada na fonte</x:v>
      </x:c>
      <x:c r="G17" s="9" t="str">
        <x:v>S063</x:v>
      </x:c>
      <x:c r="H17" s="9" t="str">
        <x:v>Mesmo par da ficha 2025; isso não comprova automaticamente o ano intermediário.</x:v>
      </x:c>
      <x:c r="I17" s="9" t="str">
        <x:v>M068</x:v>
      </x:c>
    </x:row>
    <x:row r="18" ht="48" customHeight="1">
      <x:c r="A18" s="10" t="str">
        <x:v>Dafra / SYM</x:v>
      </x:c>
      <x:c r="B18" s="10" t="str">
        <x:v>Maxsym 400 GT</x:v>
      </x:c>
      <x:c r="C18" s="10" t="str">
        <x:v>2026 — página comercial</x:v>
      </x:c>
      <x:c r="D18" s="13" t="str">
        <x:v>120/70-15</x:v>
      </x:c>
      <x:c r="E18" s="13" t="str">
        <x:v>160/60-14 ficha × 150/70-14 manual</x:v>
      </x:c>
      <x:c r="F18" s="11" t="str">
        <x:v>BLOQUEADO — conflito de fontes</x:v>
      </x:c>
      <x:c r="G18" s="11" t="str">
        <x:v>S060 / S061</x:v>
      </x:c>
      <x:c r="H18" s="10" t="str">
        <x:v>Página comercial 2026 diverge do manual GT e da ficha 2027. Necessária confirmação por versão/ano antes de importar.</x:v>
      </x:c>
      <x:c r="I18" s="10" t="str">
        <x:v>M066</x:v>
      </x:c>
    </x:row>
    <x:row r="19" ht="48" customHeight="1">
      <x:c r="A19" s="9" t="str">
        <x:v>Dafra / SYM</x:v>
      </x:c>
      <x:c r="B19" s="9" t="str">
        <x:v>Maxsym 400 GT</x:v>
      </x:c>
      <x:c r="C19" s="9" t="str">
        <x:v>2027</x:v>
      </x:c>
      <x:c r="D19" s="12" t="str">
        <x:v>120/70-15</x:v>
      </x:c>
      <x:c r="E19" s="12" t="str">
        <x:v>150/70-14</x:v>
      </x:c>
      <x:c r="F19" s="9" t="str">
        <x:v>Medida confirmada na fonte</x:v>
      </x:c>
      <x:c r="G19" s="9" t="str">
        <x:v>S059</x:v>
      </x:c>
      <x:c r="H19" s="9" t="str">
        <x:v>Ficha 2027 coincide nas medidas com manual GT. Não estender automaticamente a 2026.</x:v>
      </x:c>
      <x:c r="I19" s="9" t="str">
        <x:v>M065</x:v>
      </x:c>
    </x:row>
    <x:row r="20" ht="48" customHeight="1">
      <x:c r="A20" s="10" t="str">
        <x:v>Dafra / SYM</x:v>
      </x:c>
      <x:c r="B20" s="10" t="str">
        <x:v>Maxsym 400i</x:v>
      </x:c>
      <x:c r="C20" s="10" t="str">
        <x:v>Não delimitado na fonte</x:v>
      </x:c>
      <x:c r="D20" s="13" t="str">
        <x:v>120/70-15</x:v>
      </x:c>
      <x:c r="E20" s="13" t="str">
        <x:v>150/70-14</x:v>
      </x:c>
      <x:c r="F20" s="10" t="str">
        <x:v>Medida confirmada na fonte</x:v>
      </x:c>
      <x:c r="G20" s="10" t="str">
        <x:v>S058</x:v>
      </x:c>
      <x:c r="H20" s="10" t="str">
        <x:v>PDF p.17. Não confundir com divergência da página comercial Maxsym GT 2026.</x:v>
      </x:c>
      <x:c r="I20" s="10" t="str">
        <x:v>M064</x:v>
      </x:c>
    </x:row>
    <x:row r="21" ht="48" customHeight="1">
      <x:c r="A21" s="9" t="str">
        <x:v>Dafra / SYM</x:v>
      </x:c>
      <x:c r="B21" s="9" t="str">
        <x:v>NH 190</x:v>
      </x:c>
      <x:c r="C21" s="9" t="str">
        <x:v>Não delimitado na fonte</x:v>
      </x:c>
      <x:c r="D21" s="12" t="str">
        <x:v>100/90-19</x:v>
      </x:c>
      <x:c r="E21" s="12" t="str">
        <x:v>130/80-17</x:v>
      </x:c>
      <x:c r="F21" s="9" t="str">
        <x:v>Medida confirmada na fonte</x:v>
      </x:c>
      <x:c r="G21" s="9" t="str">
        <x:v>S066</x:v>
      </x:c>
      <x:c r="H21" s="9" t="str"/>
      <x:c r="I21" s="9" t="str">
        <x:v>M071</x:v>
      </x:c>
    </x:row>
    <x:row r="22" ht="48" customHeight="1">
      <x:c r="A22" s="10" t="str">
        <x:v>Ducati</x:v>
      </x:c>
      <x:c r="B22" s="10" t="str">
        <x:v>Panigale V4 / V4 S</x:v>
      </x:c>
      <x:c r="C22" s="10" t="str">
        <x:v>Ficha da 7ª geração; ano não delimitado</x:v>
      </x:c>
      <x:c r="D22" s="13" t="str">
        <x:v>120/70ZR17</x:v>
      </x:c>
      <x:c r="E22" s="13" t="str">
        <x:v>200/60ZR17</x:v>
      </x:c>
      <x:c r="F22" s="10" t="str">
        <x:v>Medida confirmada na fonte</x:v>
      </x:c>
      <x:c r="G22" s="10" t="str">
        <x:v>S075</x:v>
      </x:c>
      <x:c r="H22" s="10" t="str">
        <x:v>Diablo Supercorsa SP-V4. Não estender 200/60ZR17 a todas as gerações Panigale; índices a confirmar no manual.</x:v>
      </x:c>
      <x:c r="I22" s="10" t="str">
        <x:v>M080</x:v>
      </x:c>
    </x:row>
    <x:row r="23" ht="48" customHeight="1">
      <x:c r="A23" s="9" t="str">
        <x:v>Haojue</x:v>
      </x:c>
      <x:c r="B23" s="9" t="str">
        <x:v>Chopper Road 150</x:v>
      </x:c>
      <x:c r="C23" s="9" t="str">
        <x:v>Não delimitado na fonte</x:v>
      </x:c>
      <x:c r="D23" s="12" t="str">
        <x:v>2.75-18</x:v>
      </x:c>
      <x:c r="E23" s="12" t="str">
        <x:v>3.50-16</x:v>
      </x:c>
      <x:c r="F23" s="9" t="str">
        <x:v>Medida confirmada na fonte</x:v>
      </x:c>
      <x:c r="G23" s="9" t="str">
        <x:v>S068</x:v>
      </x:c>
      <x:c r="H23" s="9" t="str"/>
      <x:c r="I23" s="9" t="str">
        <x:v>M073</x:v>
      </x:c>
    </x:row>
    <x:row r="24" ht="48" customHeight="1">
      <x:c r="A24" s="10" t="str">
        <x:v>Haojue</x:v>
      </x:c>
      <x:c r="B24" s="10" t="str">
        <x:v>DR 160</x:v>
      </x:c>
      <x:c r="C24" s="10" t="str">
        <x:v>Não delimitado na fonte</x:v>
      </x:c>
      <x:c r="D24" s="13" t="str">
        <x:v>100/80R17</x:v>
      </x:c>
      <x:c r="E24" s="13" t="str">
        <x:v>130/70R17</x:v>
      </x:c>
      <x:c r="F24" s="11" t="str">
        <x:v>Revisar construção no manual</x:v>
      </x:c>
      <x:c r="G24" s="11" t="str">
        <x:v>S069</x:v>
      </x:c>
      <x:c r="H24" s="10" t="str">
        <x:v>Ficha online imprime R nos dois eixos. Preservado literalmente; confirmar no manual antes de classificar SKU como radial.</x:v>
      </x:c>
      <x:c r="I24" s="10" t="str">
        <x:v>M074</x:v>
      </x:c>
    </x:row>
    <x:row r="25" ht="48" customHeight="1">
      <x:c r="A25" s="9" t="str">
        <x:v>Haojue</x:v>
      </x:c>
      <x:c r="B25" s="9" t="str">
        <x:v>Lindy 125</x:v>
      </x:c>
      <x:c r="C25" s="9" t="str">
        <x:v>Não delimitado na fonte</x:v>
      </x:c>
      <x:c r="D25" s="12" t="str">
        <x:v>90/90-10</x:v>
      </x:c>
      <x:c r="E25" s="12" t="str">
        <x:v>100/90-10</x:v>
      </x:c>
      <x:c r="F25" s="9" t="str">
        <x:v>Medida confirmada na fonte</x:v>
      </x:c>
      <x:c r="G25" s="9" t="str">
        <x:v>S067</x:v>
      </x:c>
      <x:c r="H25" s="9" t="str">
        <x:v>Assim como a Burgman i, não cadastrar 90/90-10 automaticamente como traseiro.</x:v>
      </x:c>
      <x:c r="I25" s="9" t="str">
        <x:v>M072</x:v>
      </x:c>
    </x:row>
    <x:row r="26" ht="48" customHeight="1">
      <x:c r="A26" s="10" t="str">
        <x:v>Honda</x:v>
      </x:c>
      <x:c r="B26" s="10" t="str">
        <x:v>ADV 160</x:v>
      </x:c>
      <x:c r="C26" s="10" t="str">
        <x:v>2025</x:v>
      </x:c>
      <x:c r="D26" s="13" t="str">
        <x:v>110/80-14</x:v>
      </x:c>
      <x:c r="E26" s="13" t="str">
        <x:v>130/70-13</x:v>
      </x:c>
      <x:c r="F26" s="10" t="str">
        <x:v>Medida confirmada na fonte</x:v>
      </x:c>
      <x:c r="G26" s="10" t="str">
        <x:v>S015</x:v>
      </x:c>
      <x:c r="H26" s="10" t="str"/>
      <x:c r="I26" s="10" t="str">
        <x:v>M017</x:v>
      </x:c>
    </x:row>
    <x:row r="27" ht="48" customHeight="1">
      <x:c r="A27" s="9" t="str">
        <x:v>Honda</x:v>
      </x:c>
      <x:c r="B27" s="9" t="str">
        <x:v>Biz 125 ES</x:v>
      </x:c>
      <x:c r="C27" s="9" t="str">
        <x:v>2025</x:v>
      </x:c>
      <x:c r="D27" s="12" t="str">
        <x:v>60/100-17</x:v>
      </x:c>
      <x:c r="E27" s="12" t="str">
        <x:v>80/100-14</x:v>
      </x:c>
      <x:c r="F27" s="9" t="str">
        <x:v>Medida confirmada na fonte</x:v>
      </x:c>
      <x:c r="G27" s="9" t="str">
        <x:v>S010</x:v>
      </x:c>
      <x:c r="H27" s="9" t="str"/>
      <x:c r="I27" s="9" t="str">
        <x:v>M011</x:v>
      </x:c>
    </x:row>
    <x:row r="28" ht="48" customHeight="1">
      <x:c r="A28" s="10" t="str">
        <x:v>Honda</x:v>
      </x:c>
      <x:c r="B28" s="10" t="str">
        <x:v>Biz 125 EX</x:v>
      </x:c>
      <x:c r="C28" s="10" t="str">
        <x:v>2025</x:v>
      </x:c>
      <x:c r="D28" s="13" t="str">
        <x:v>70/90-17</x:v>
      </x:c>
      <x:c r="E28" s="13" t="str">
        <x:v>80/100-14</x:v>
      </x:c>
      <x:c r="F28" s="10" t="str">
        <x:v>Medida confirmada na fonte</x:v>
      </x:c>
      <x:c r="G28" s="10" t="str">
        <x:v>S010</x:v>
      </x:c>
      <x:c r="H28" s="10" t="str">
        <x:v>Dianteiro diferente da ES: não unificar as versões.</x:v>
      </x:c>
      <x:c r="I28" s="10" t="str">
        <x:v>M012</x:v>
      </x:c>
    </x:row>
    <x:row r="29" ht="48" customHeight="1">
      <x:c r="A29" s="9" t="str">
        <x:v>Honda</x:v>
      </x:c>
      <x:c r="B29" s="9" t="str">
        <x:v>CB 250F Twister ABS / CBS</x:v>
      </x:c>
      <x:c r="C29" s="9" t="str">
        <x:v>2019</x:v>
      </x:c>
      <x:c r="D29" s="12" t="str">
        <x:v>110/70R17</x:v>
      </x:c>
      <x:c r="E29" s="12" t="str">
        <x:v>140/70R17</x:v>
      </x:c>
      <x:c r="F29" s="9" t="str">
        <x:v>Medida confirmada na fonte</x:v>
      </x:c>
      <x:c r="G29" s="9" t="str">
        <x:v>S006</x:v>
      </x:c>
      <x:c r="H29" s="9" t="str">
        <x:v>Pirelli Diablo Rosso II; PDF p.98. Manter o R da construção radial.</x:v>
      </x:c>
      <x:c r="I29" s="9" t="str">
        <x:v>M007</x:v>
      </x:c>
    </x:row>
    <x:row r="30" ht="48" customHeight="1">
      <x:c r="A30" s="10" t="str">
        <x:v>Honda</x:v>
      </x:c>
      <x:c r="B30" s="10" t="str">
        <x:v>CB 300F Twister ABS / CBS</x:v>
      </x:c>
      <x:c r="C30" s="10" t="str">
        <x:v>2025–2026</x:v>
      </x:c>
      <x:c r="D30" s="13" t="str">
        <x:v>110/70R17</x:v>
      </x:c>
      <x:c r="E30" s="13" t="str">
        <x:v>150/60R17</x:v>
      </x:c>
      <x:c r="F30" s="10" t="str">
        <x:v>Medida confirmada na fonte</x:v>
      </x:c>
      <x:c r="G30" s="10" t="str">
        <x:v>S007</x:v>
      </x:c>
      <x:c r="H30" s="10" t="str">
        <x:v>Não herdar 140/70R17 da CB 250F. Aplicação traseira é 150/60R17.</x:v>
      </x:c>
      <x:c r="I30" s="10" t="str">
        <x:v>M008</x:v>
      </x:c>
    </x:row>
    <x:row r="31" ht="48" customHeight="1">
      <x:c r="A31" s="9" t="str">
        <x:v>Honda</x:v>
      </x:c>
      <x:c r="B31" s="9" t="str">
        <x:v>CB 650R E-Clutch</x:v>
      </x:c>
      <x:c r="C31" s="9" t="str">
        <x:v>2026</x:v>
      </x:c>
      <x:c r="D31" s="12" t="str">
        <x:v>120/70ZR17</x:v>
      </x:c>
      <x:c r="E31" s="12" t="str">
        <x:v>180/55ZR17</x:v>
      </x:c>
      <x:c r="F31" s="9" t="str">
        <x:v>Medida confirmada na fonte</x:v>
      </x:c>
      <x:c r="G31" s="9" t="str">
        <x:v>S019</x:v>
      </x:c>
      <x:c r="H31" s="9" t="str"/>
      <x:c r="I31" s="9" t="str">
        <x:v>M021</x:v>
      </x:c>
    </x:row>
    <x:row r="32" ht="48" customHeight="1">
      <x:c r="A32" s="10" t="str">
        <x:v>Honda</x:v>
      </x:c>
      <x:c r="B32" s="10" t="str">
        <x:v>CG 150 Fan ESDi</x:v>
      </x:c>
      <x:c r="C32" s="10" t="str">
        <x:v>2015</x:v>
      </x:c>
      <x:c r="D32" s="13" t="str">
        <x:v>80/100-18</x:v>
      </x:c>
      <x:c r="E32" s="13" t="str">
        <x:v>90/90-18</x:v>
      </x:c>
      <x:c r="F32" s="10" t="str">
        <x:v>Medida confirmada na fonte</x:v>
      </x:c>
      <x:c r="G32" s="10" t="str">
        <x:v>S002</x:v>
      </x:c>
      <x:c r="H32" s="10" t="str"/>
      <x:c r="I32" s="10" t="str">
        <x:v>M002</x:v>
      </x:c>
    </x:row>
    <x:row r="33" ht="48" customHeight="1">
      <x:c r="A33" s="9" t="str">
        <x:v>Honda</x:v>
      </x:c>
      <x:c r="B33" s="9" t="str">
        <x:v>CG 150 Sport</x:v>
      </x:c>
      <x:c r="C33" s="9" t="str">
        <x:v>2005</x:v>
      </x:c>
      <x:c r="D33" s="12" t="str">
        <x:v>80/100-18</x:v>
      </x:c>
      <x:c r="E33" s="12" t="str">
        <x:v>110/80-17</x:v>
      </x:c>
      <x:c r="F33" s="9" t="str">
        <x:v>Medida confirmada na fonte</x:v>
      </x:c>
      <x:c r="G33" s="9" t="str">
        <x:v>S003</x:v>
      </x:c>
      <x:c r="H33" s="9" t="str"/>
      <x:c r="I33" s="9" t="str">
        <x:v>M003</x:v>
      </x:c>
    </x:row>
    <x:row r="34" ht="48" customHeight="1">
      <x:c r="A34" s="10" t="str">
        <x:v>Honda</x:v>
      </x:c>
      <x:c r="B34" s="10" t="str">
        <x:v>CG 150 Titan ESD / EX</x:v>
      </x:c>
      <x:c r="C34" s="10" t="str">
        <x:v>2015</x:v>
      </x:c>
      <x:c r="D34" s="13" t="str">
        <x:v>80/100-18</x:v>
      </x:c>
      <x:c r="E34" s="13" t="str">
        <x:v>90/90-18</x:v>
      </x:c>
      <x:c r="F34" s="10" t="str">
        <x:v>Medida confirmada na fonte</x:v>
      </x:c>
      <x:c r="G34" s="10" t="str">
        <x:v>S001</x:v>
      </x:c>
      <x:c r="H34" s="10" t="str">
        <x:v>Não estender à CG 150 Sport. Confirmar tipo de roda e montagem por versão.</x:v>
      </x:c>
      <x:c r="I34" s="10" t="str">
        <x:v>M001</x:v>
      </x:c>
    </x:row>
    <x:row r="35" ht="48" customHeight="1">
      <x:c r="A35" s="9" t="str">
        <x:v>Honda</x:v>
      </x:c>
      <x:c r="B35" s="9" t="str">
        <x:v>CG 160 Fan</x:v>
      </x:c>
      <x:c r="C35" s="9" t="str">
        <x:v>2019–2020</x:v>
      </x:c>
      <x:c r="D35" s="12" t="str">
        <x:v>80/100-18</x:v>
      </x:c>
      <x:c r="E35" s="12" t="str">
        <x:v>90/90-18</x:v>
      </x:c>
      <x:c r="F35" s="9" t="str">
        <x:v>Medida confirmada na fonte</x:v>
      </x:c>
      <x:c r="G35" s="9" t="str">
        <x:v>S004</x:v>
      </x:c>
      <x:c r="H35" s="9" t="str">
        <x:v>Traseiro REINF. Manual, seção Especificações; PDF p.128.</x:v>
      </x:c>
      <x:c r="I35" s="9" t="str">
        <x:v>M004</x:v>
      </x:c>
    </x:row>
    <x:row r="36" ht="48" customHeight="1">
      <x:c r="A36" s="10" t="str">
        <x:v>Honda</x:v>
      </x:c>
      <x:c r="B36" s="10" t="str">
        <x:v>CG 160 Start</x:v>
      </x:c>
      <x:c r="C36" s="10" t="str">
        <x:v>2026</x:v>
      </x:c>
      <x:c r="D36" s="13" t="str">
        <x:v>80/100-18</x:v>
      </x:c>
      <x:c r="E36" s="13" t="str">
        <x:v>90/90-18</x:v>
      </x:c>
      <x:c r="F36" s="10" t="str">
        <x:v>Medida confirmada na fonte</x:v>
      </x:c>
      <x:c r="G36" s="10" t="str">
        <x:v>S005</x:v>
      </x:c>
      <x:c r="H36" s="10" t="str"/>
      <x:c r="I36" s="10" t="str">
        <x:v>M006</x:v>
      </x:c>
    </x:row>
    <x:row r="37" ht="48" customHeight="1">
      <x:c r="A37" s="9" t="str">
        <x:v>Honda</x:v>
      </x:c>
      <x:c r="B37" s="9" t="str">
        <x:v>CG 160 Titan</x:v>
      </x:c>
      <x:c r="C37" s="9" t="str">
        <x:v>2019–2020</x:v>
      </x:c>
      <x:c r="D37" s="12" t="str">
        <x:v>80/100-18</x:v>
      </x:c>
      <x:c r="E37" s="12" t="str">
        <x:v>100/80-18</x:v>
      </x:c>
      <x:c r="F37" s="9" t="str">
        <x:v>Medida confirmada na fonte</x:v>
      </x:c>
      <x:c r="G37" s="9" t="str">
        <x:v>S004</x:v>
      </x:c>
      <x:c r="H37" s="9" t="str">
        <x:v>Traseiro REINF. Diferente da Fan da mesma edição.</x:v>
      </x:c>
      <x:c r="I37" s="9" t="str">
        <x:v>M005</x:v>
      </x:c>
    </x:row>
    <x:row r="38" ht="48" customHeight="1">
      <x:c r="A38" s="10" t="str">
        <x:v>Honda</x:v>
      </x:c>
      <x:c r="B38" s="10" t="str">
        <x:v>Elite 125</x:v>
      </x:c>
      <x:c r="C38" s="10" t="str">
        <x:v>2025</x:v>
      </x:c>
      <x:c r="D38" s="13" t="str">
        <x:v>90/90-12</x:v>
      </x:c>
      <x:c r="E38" s="13" t="str">
        <x:v>100/90-10</x:v>
      </x:c>
      <x:c r="F38" s="10" t="str">
        <x:v>Medida confirmada na fonte</x:v>
      </x:c>
      <x:c r="G38" s="10" t="str">
        <x:v>S016</x:v>
      </x:c>
      <x:c r="H38" s="10" t="str">
        <x:v>Pirelli Angel Scooter citado no lançamento.</x:v>
      </x:c>
      <x:c r="I38" s="10" t="str">
        <x:v>M018</x:v>
      </x:c>
    </x:row>
    <x:row r="39" ht="48" customHeight="1">
      <x:c r="A39" s="9" t="str">
        <x:v>Honda</x:v>
      </x:c>
      <x:c r="B39" s="9" t="str">
        <x:v>NC 750X</x:v>
      </x:c>
      <x:c r="C39" s="9" t="str">
        <x:v>2016</x:v>
      </x:c>
      <x:c r="D39" s="12" t="str">
        <x:v>120/70ZR17</x:v>
      </x:c>
      <x:c r="E39" s="12" t="str">
        <x:v>160/60ZR17</x:v>
      </x:c>
      <x:c r="F39" s="9" t="str">
        <x:v>Medida confirmada na fonte</x:v>
      </x:c>
      <x:c r="G39" s="9" t="str">
        <x:v>S018</x:v>
      </x:c>
      <x:c r="H39" s="9" t="str">
        <x:v>PDF p.112; manter ZR e índice entre parênteses.</x:v>
      </x:c>
      <x:c r="I39" s="9" t="str">
        <x:v>M020</x:v>
      </x:c>
    </x:row>
    <x:row r="40" ht="48" customHeight="1">
      <x:c r="A40" s="10" t="str">
        <x:v>Honda</x:v>
      </x:c>
      <x:c r="B40" s="10" t="str">
        <x:v>NXR 160 Bros ABS / CBS</x:v>
      </x:c>
      <x:c r="C40" s="10" t="str">
        <x:v>2026</x:v>
      </x:c>
      <x:c r="D40" s="13" t="str">
        <x:v>90/90-19</x:v>
      </x:c>
      <x:c r="E40" s="13" t="str">
        <x:v>110/90-17</x:v>
      </x:c>
      <x:c r="F40" s="10" t="str">
        <x:v>Medida confirmada na fonte</x:v>
      </x:c>
      <x:c r="G40" s="10" t="str">
        <x:v>S008</x:v>
      </x:c>
      <x:c r="H40" s="10" t="str"/>
      <x:c r="I40" s="10" t="str">
        <x:v>M009</x:v>
      </x:c>
    </x:row>
    <x:row r="41" ht="48" customHeight="1">
      <x:c r="A41" s="9" t="str">
        <x:v>Honda</x:v>
      </x:c>
      <x:c r="B41" s="9" t="str">
        <x:v>PCX 150 CBS / ABS / DLX / Sport</x:v>
      </x:c>
      <x:c r="C41" s="9" t="str">
        <x:v>2022</x:v>
      </x:c>
      <x:c r="D41" s="12" t="str">
        <x:v>100/80-14</x:v>
      </x:c>
      <x:c r="E41" s="12" t="str">
        <x:v>120/70-14</x:v>
      </x:c>
      <x:c r="F41" s="9" t="str">
        <x:v>Medida confirmada na fonte</x:v>
      </x:c>
      <x:c r="G41" s="9" t="str">
        <x:v>S013</x:v>
      </x:c>
      <x:c r="H41" s="9" t="str"/>
      <x:c r="I41" s="9" t="str">
        <x:v>M015</x:v>
      </x:c>
    </x:row>
    <x:row r="42" ht="48" customHeight="1">
      <x:c r="A42" s="10" t="str">
        <x:v>Honda</x:v>
      </x:c>
      <x:c r="B42" s="10" t="str">
        <x:v>PCX 160</x:v>
      </x:c>
      <x:c r="C42" s="10" t="str">
        <x:v>2023</x:v>
      </x:c>
      <x:c r="D42" s="13" t="str">
        <x:v>110/70-14</x:v>
      </x:c>
      <x:c r="E42" s="13" t="str">
        <x:v>130/70-13</x:v>
      </x:c>
      <x:c r="F42" s="10" t="str">
        <x:v>Medida confirmada na fonte</x:v>
      </x:c>
      <x:c r="G42" s="10" t="str">
        <x:v>S014</x:v>
      </x:c>
      <x:c r="H42" s="10" t="str"/>
      <x:c r="I42" s="10" t="str">
        <x:v>M016</x:v>
      </x:c>
    </x:row>
    <x:row r="43" ht="48" customHeight="1">
      <x:c r="A43" s="9" t="str">
        <x:v>Honda</x:v>
      </x:c>
      <x:c r="B43" s="9" t="str">
        <x:v>Pop 110i ES</x:v>
      </x:c>
      <x:c r="C43" s="9" t="str">
        <x:v>2025</x:v>
      </x:c>
      <x:c r="D43" s="12" t="str">
        <x:v>60/100-17</x:v>
      </x:c>
      <x:c r="E43" s="12" t="str">
        <x:v>80/100-14</x:v>
      </x:c>
      <x:c r="F43" s="9" t="str">
        <x:v>Medida confirmada na fonte</x:v>
      </x:c>
      <x:c r="G43" s="9" t="str">
        <x:v>S011</x:v>
      </x:c>
      <x:c r="H43" s="9" t="str"/>
      <x:c r="I43" s="9" t="str">
        <x:v>M013</x:v>
      </x:c>
    </x:row>
    <x:row r="44" ht="48" customHeight="1">
      <x:c r="A44" s="10" t="str">
        <x:v>Honda</x:v>
      </x:c>
      <x:c r="B44" s="10" t="str">
        <x:v>Pop 110i ES</x:v>
      </x:c>
      <x:c r="C44" s="10" t="str">
        <x:v>2027</x:v>
      </x:c>
      <x:c r="D44" s="13" t="str">
        <x:v>70/90-17</x:v>
      </x:c>
      <x:c r="E44" s="13" t="str">
        <x:v>80/100-14</x:v>
      </x:c>
      <x:c r="F44" s="10" t="str">
        <x:v>Medida confirmada na fonte</x:v>
      </x:c>
      <x:c r="G44" s="10" t="str">
        <x:v>S012</x:v>
      </x:c>
      <x:c r="H44" s="10" t="str">
        <x:v>Modelo 2027 lançado em 2026. Não aplicar retroativamente à Pop 2025.</x:v>
      </x:c>
      <x:c r="I44" s="10" t="str">
        <x:v>M014</x:v>
      </x:c>
    </x:row>
    <x:row r="45" ht="48" customHeight="1">
      <x:c r="A45" s="9" t="str">
        <x:v>Honda</x:v>
      </x:c>
      <x:c r="B45" s="9" t="str">
        <x:v>Sahara 300</x:v>
      </x:c>
      <x:c r="C45" s="9" t="str">
        <x:v>2024</x:v>
      </x:c>
      <x:c r="D45" s="12" t="str">
        <x:v>90/90-21</x:v>
      </x:c>
      <x:c r="E45" s="12" t="str">
        <x:v>120/80-18</x:v>
      </x:c>
      <x:c r="F45" s="9" t="str">
        <x:v>Medida confirmada na fonte</x:v>
      </x:c>
      <x:c r="G45" s="9" t="str">
        <x:v>S009</x:v>
      </x:c>
      <x:c r="H45" s="9" t="str"/>
      <x:c r="I45" s="9" t="str">
        <x:v>M010</x:v>
      </x:c>
    </x:row>
    <x:row r="46" ht="48" customHeight="1">
      <x:c r="A46" s="10" t="str">
        <x:v>Honda</x:v>
      </x:c>
      <x:c r="B46" s="10" t="str">
        <x:v>SH 150i</x:v>
      </x:c>
      <x:c r="C46" s="10" t="str">
        <x:v>2018</x:v>
      </x:c>
      <x:c r="D46" s="13" t="str">
        <x:v>100/80-16</x:v>
      </x:c>
      <x:c r="E46" s="13" t="str">
        <x:v>120/80-16</x:v>
      </x:c>
      <x:c r="F46" s="10" t="str">
        <x:v>Medida confirmada na fonte</x:v>
      </x:c>
      <x:c r="G46" s="10" t="str">
        <x:v>S017</x:v>
      </x:c>
      <x:c r="H46" s="10" t="str">
        <x:v>PDF p.115; ambos os pneus aro 16.</x:v>
      </x:c>
      <x:c r="I46" s="10" t="str">
        <x:v>M019</x:v>
      </x:c>
    </x:row>
    <x:row r="47" ht="48" customHeight="1">
      <x:c r="A47" s="9" t="str">
        <x:v>Kawasaki</x:v>
      </x:c>
      <x:c r="B47" s="9" t="str">
        <x:v>Vulcan S Café</x:v>
      </x:c>
      <x:c r="C47" s="9" t="str">
        <x:v>2026</x:v>
      </x:c>
      <x:c r="D47" s="12" t="str">
        <x:v>120/70R18</x:v>
      </x:c>
      <x:c r="E47" s="12" t="str">
        <x:v>160/60R17</x:v>
      </x:c>
      <x:c r="F47" s="9" t="str">
        <x:v>Medida confirmada na fonte</x:v>
      </x:c>
      <x:c r="G47" s="9" t="str">
        <x:v>S072</x:v>
      </x:c>
      <x:c r="H47" s="9" t="str"/>
      <x:c r="I47" s="9" t="str">
        <x:v>M077</x:v>
      </x:c>
    </x:row>
    <x:row r="48" ht="48" customHeight="1">
      <x:c r="A48" s="10" t="str">
        <x:v>Kawasaki</x:v>
      </x:c>
      <x:c r="B48" s="10" t="str">
        <x:v>Z650</x:v>
      </x:c>
      <x:c r="C48" s="10" t="str">
        <x:v>2026</x:v>
      </x:c>
      <x:c r="D48" s="13" t="str">
        <x:v>120/70ZR17</x:v>
      </x:c>
      <x:c r="E48" s="13" t="str">
        <x:v>160/60ZR17</x:v>
      </x:c>
      <x:c r="F48" s="10" t="str">
        <x:v>Medida confirmada na fonte</x:v>
      </x:c>
      <x:c r="G48" s="10" t="str">
        <x:v>S071</x:v>
      </x:c>
      <x:c r="H48" s="10" t="str"/>
      <x:c r="I48" s="10" t="str">
        <x:v>M076</x:v>
      </x:c>
    </x:row>
    <x:row r="49" ht="48" customHeight="1">
      <x:c r="A49" s="9" t="str">
        <x:v>Kawasaki</x:v>
      </x:c>
      <x:c r="B49" s="9" t="str">
        <x:v>Z900</x:v>
      </x:c>
      <x:c r="C49" s="9" t="str">
        <x:v>2026</x:v>
      </x:c>
      <x:c r="D49" s="12" t="str">
        <x:v>120/70ZR17</x:v>
      </x:c>
      <x:c r="E49" s="12" t="str">
        <x:v>180/55ZR17</x:v>
      </x:c>
      <x:c r="F49" s="9" t="str">
        <x:v>Medida confirmada na fonte</x:v>
      </x:c>
      <x:c r="G49" s="9" t="str">
        <x:v>S073</x:v>
      </x:c>
      <x:c r="H49" s="9" t="str"/>
      <x:c r="I49" s="9" t="str">
        <x:v>M078</x:v>
      </x:c>
    </x:row>
    <x:row r="50" ht="48" customHeight="1">
      <x:c r="A50" s="10" t="str">
        <x:v>Kymco</x:v>
      </x:c>
      <x:c r="B50" s="10" t="str">
        <x:v>Downtown 350i</x:v>
      </x:c>
      <x:c r="C50" s="10" t="str">
        <x:v>Não delimitado na fonte</x:v>
      </x:c>
      <x:c r="D50" s="13" t="str">
        <x:v>120/80-14</x:v>
      </x:c>
      <x:c r="E50" s="13" t="str">
        <x:v>150/70-13</x:v>
      </x:c>
      <x:c r="F50" s="10" t="str">
        <x:v>Medida confirmada na fonte</x:v>
      </x:c>
      <x:c r="G50" s="10" t="str">
        <x:v>S070</x:v>
      </x:c>
      <x:c r="H50" s="10" t="str">
        <x:v>Índices com parênteses conforme ficha. Confirmar marcação completa no manual.</x:v>
      </x:c>
      <x:c r="I50" s="10" t="str">
        <x:v>M075</x:v>
      </x:c>
    </x:row>
    <x:row r="51" ht="48" customHeight="1">
      <x:c r="A51" s="9" t="str">
        <x:v>Mottu</x:v>
      </x:c>
      <x:c r="B51" s="9" t="str">
        <x:v>Sport ESD</x:v>
      </x:c>
      <x:c r="C51" s="9" t="str">
        <x:v>Não delimitado na fonte</x:v>
      </x:c>
      <x:c r="D51" s="12" t="str">
        <x:v>2.75-17</x:v>
      </x:c>
      <x:c r="E51" s="12" t="str">
        <x:v>3.00-17 ou 90/90-17</x:v>
      </x:c>
      <x:c r="F51" s="9" t="str">
        <x:v>Medida confirmada na fonte</x:v>
      </x:c>
      <x:c r="G51" s="9" t="str">
        <x:v>S043</x:v>
      </x:c>
      <x:c r="H51" s="9" t="str">
        <x:v>Manual p.50: duas medidas traseiras expressamente listadas. Não transformar isso em equivalência universal entre polegadas e sistema métrico.</x:v>
      </x:c>
      <x:c r="I51" s="9" t="str">
        <x:v>M050</x:v>
      </x:c>
    </x:row>
    <x:row r="52" ht="48" customHeight="1">
      <x:c r="A52" s="10" t="str">
        <x:v>Royal Enfield</x:v>
      </x:c>
      <x:c r="B52" s="10" t="str">
        <x:v>Bear 650</x:v>
      </x:c>
      <x:c r="C52" s="10" t="str">
        <x:v>Não delimitado na fonte</x:v>
      </x:c>
      <x:c r="D52" s="13" t="str">
        <x:v>100/90-19</x:v>
      </x:c>
      <x:c r="E52" s="13" t="str">
        <x:v>140/80R17</x:v>
      </x:c>
      <x:c r="F52" s="10" t="str">
        <x:v>Medida confirmada na fonte</x:v>
      </x:c>
      <x:c r="G52" s="10" t="str">
        <x:v>S049</x:v>
      </x:c>
      <x:c r="H52" s="10" t="str">
        <x:v>MRF Nylorex F / X. Rodas raiadas; não inferir uso de câmara apenas pela roda.</x:v>
      </x:c>
      <x:c r="I52" s="10" t="str">
        <x:v>M056</x:v>
      </x:c>
    </x:row>
    <x:row r="53" ht="48" customHeight="1">
      <x:c r="A53" s="9" t="str">
        <x:v>Royal Enfield</x:v>
      </x:c>
      <x:c r="B53" s="9" t="str">
        <x:v>Classic 350</x:v>
      </x:c>
      <x:c r="C53" s="9" t="str">
        <x:v>Não delimitado na fonte</x:v>
      </x:c>
      <x:c r="D53" s="12" t="str">
        <x:v>100/90-19</x:v>
      </x:c>
      <x:c r="E53" s="12" t="str">
        <x:v>120/80-19 BR × 120/80-18 UK</x:v>
      </x:c>
      <x:c r="F53" s="11" t="str">
        <x:v>BLOQUEADO — conflito de fontes</x:v>
      </x:c>
      <x:c r="G53" s="11" t="str">
        <x:v>S054 / S055</x:v>
      </x:c>
      <x:c r="H53" s="9" t="str">
        <x:v>Ficha Brasil indica traseiro aro 19; manual oficial UK indica 120/80-18 62P. Não resolver por suposição. Dianteiro/índice do manual UK; validar manual Brasil.</x:v>
      </x:c>
      <x:c r="I53" s="9" t="str">
        <x:v>M061</x:v>
      </x:c>
    </x:row>
    <x:row r="54" ht="48" customHeight="1">
      <x:c r="A54" s="10" t="str">
        <x:v>Royal Enfield</x:v>
      </x:c>
      <x:c r="B54" s="10" t="str">
        <x:v>Guerrilla 450</x:v>
      </x:c>
      <x:c r="C54" s="10" t="str">
        <x:v>Não delimitado na fonte</x:v>
      </x:c>
      <x:c r="D54" s="13" t="str">
        <x:v>120/70R17</x:v>
      </x:c>
      <x:c r="E54" s="13" t="str">
        <x:v>160/60R17</x:v>
      </x:c>
      <x:c r="F54" s="10" t="str">
        <x:v>Medida confirmada na fonte</x:v>
      </x:c>
      <x:c r="G54" s="10" t="str">
        <x:v>S048</x:v>
      </x:c>
      <x:c r="H54" s="10" t="str">
        <x:v>Medidas da ficha Brasil; montagem sem câmara confirmada na página brasileira do modelo. Índices pendentes.</x:v>
      </x:c>
      <x:c r="I54" s="10" t="str">
        <x:v>M055</x:v>
      </x:c>
    </x:row>
    <x:row r="55" ht="48" customHeight="1">
      <x:c r="A55" s="9" t="str">
        <x:v>Royal Enfield</x:v>
      </x:c>
      <x:c r="B55" s="9" t="str">
        <x:v>Himalayan 411</x:v>
      </x:c>
      <x:c r="C55" s="9" t="str">
        <x:v>Não delimitado na fonte</x:v>
      </x:c>
      <x:c r="D55" s="12" t="str">
        <x:v>90/90-21</x:v>
      </x:c>
      <x:c r="E55" s="12" t="str">
        <x:v>120/90-17</x:v>
      </x:c>
      <x:c r="F55" s="9" t="str">
        <x:v>Medida confirmada na fonte</x:v>
      </x:c>
      <x:c r="G55" s="9" t="str">
        <x:v>S050</x:v>
      </x:c>
      <x:c r="H55" s="9" t="str">
        <x:v>PDF p.37. Índice dianteiro varia conforme pneu listado no manual; não misturar os pares sem conferir especificação.</x:v>
      </x:c>
      <x:c r="I55" s="9" t="str">
        <x:v>M057</x:v>
      </x:c>
    </x:row>
    <x:row r="56" ht="48" customHeight="1">
      <x:c r="A56" s="10" t="str">
        <x:v>Royal Enfield</x:v>
      </x:c>
      <x:c r="B56" s="10" t="str">
        <x:v>Himalayan 450</x:v>
      </x:c>
      <x:c r="C56" s="10" t="str">
        <x:v>Não delimitado na fonte</x:v>
      </x:c>
      <x:c r="D56" s="13" t="str">
        <x:v>90/90-21</x:v>
      </x:c>
      <x:c r="E56" s="13" t="str">
        <x:v>140/80R17</x:v>
      </x:c>
      <x:c r="F56" s="10" t="str">
        <x:v>Medida confirmada na fonte</x:v>
      </x:c>
      <x:c r="G56" s="10" t="str">
        <x:v>S051</x:v>
      </x:c>
      <x:c r="H56" s="10" t="str">
        <x:v>PDF p.17. Montagem depende do aro; conferir versão antes de escolher câmara/sem câmara.</x:v>
      </x:c>
      <x:c r="I56" s="10" t="str">
        <x:v>M058</x:v>
      </x:c>
    </x:row>
    <x:row r="57" ht="48" customHeight="1">
      <x:c r="A57" s="9" t="str">
        <x:v>Royal Enfield</x:v>
      </x:c>
      <x:c r="B57" s="9" t="str">
        <x:v>Hunter 350</x:v>
      </x:c>
      <x:c r="C57" s="9" t="str">
        <x:v>Não delimitado na fonte</x:v>
      </x:c>
      <x:c r="D57" s="12" t="str">
        <x:v>110/70-17</x:v>
      </x:c>
      <x:c r="E57" s="12" t="str">
        <x:v>140/70-17</x:v>
      </x:c>
      <x:c r="F57" s="9" t="str">
        <x:v>Medida confirmada na fonte</x:v>
      </x:c>
      <x:c r="G57" s="9" t="str">
        <x:v>S044</x:v>
      </x:c>
      <x:c r="H57" s="9" t="str"/>
      <x:c r="I57" s="9" t="str">
        <x:v>M051</x:v>
      </x:c>
    </x:row>
    <x:row r="58" ht="48" customHeight="1">
      <x:c r="A58" s="10" t="str">
        <x:v>Royal Enfield</x:v>
      </x:c>
      <x:c r="B58" s="10" t="str">
        <x:v>Interceptor 650</x:v>
      </x:c>
      <x:c r="C58" s="10" t="str">
        <x:v>Ficha Reino Unido, ano não delimitado</x:v>
      </x:c>
      <x:c r="D58" s="13" t="str">
        <x:v>100/90-18</x:v>
      </x:c>
      <x:c r="E58" s="13" t="str">
        <x:v>130/70-18</x:v>
      </x:c>
      <x:c r="F58" s="11" t="str">
        <x:v>Referência internacional</x:v>
      </x:c>
      <x:c r="G58" s="11" t="str">
        <x:v>S053</x:v>
      </x:c>
      <x:c r="H58" s="10" t="str">
        <x:v>Outras fichas globais citam alternativa radial traseira; confirmar ano, roda e manual Brasil antes de liberar.</x:v>
      </x:c>
      <x:c r="I58" s="10" t="str">
        <x:v>M060</x:v>
      </x:c>
    </x:row>
    <x:row r="59" ht="48" customHeight="1">
      <x:c r="A59" s="9" t="str">
        <x:v>Royal Enfield</x:v>
      </x:c>
      <x:c r="B59" s="9" t="str">
        <x:v>Meteor 350 — rodas de liga</x:v>
      </x:c>
      <x:c r="C59" s="9" t="str">
        <x:v>Não delimitado na fonte</x:v>
      </x:c>
      <x:c r="D59" s="12" t="str">
        <x:v>100/90-19</x:v>
      </x:c>
      <x:c r="E59" s="12" t="str">
        <x:v>140/70-17</x:v>
      </x:c>
      <x:c r="F59" s="9" t="str">
        <x:v>Medida confirmada na fonte</x:v>
      </x:c>
      <x:c r="G59" s="9" t="str">
        <x:v>S045</x:v>
      </x:c>
      <x:c r="H59" s="9" t="str">
        <x:v>Ficha especifica rodas de liga. Não generalizar montagem para versão de rodas raiadas.</x:v>
      </x:c>
      <x:c r="I59" s="9" t="str">
        <x:v>M052</x:v>
      </x:c>
    </x:row>
    <x:row r="60" ht="48" customHeight="1">
      <x:c r="A60" s="10" t="str">
        <x:v>Royal Enfield</x:v>
      </x:c>
      <x:c r="B60" s="10" t="str">
        <x:v>Scram 411</x:v>
      </x:c>
      <x:c r="C60" s="10" t="str">
        <x:v>Manual internacional, ano não delimitado</x:v>
      </x:c>
      <x:c r="D60" s="13" t="str">
        <x:v>100/90-19</x:v>
      </x:c>
      <x:c r="E60" s="13" t="str">
        <x:v>120/90-17</x:v>
      </x:c>
      <x:c r="F60" s="11" t="str">
        <x:v>Referência internacional</x:v>
      </x:c>
      <x:c r="G60" s="11" t="str">
        <x:v>S052</x:v>
      </x:c>
      <x:c r="H60" s="10" t="str"/>
      <x:c r="I60" s="10" t="str">
        <x:v>M059</x:v>
      </x:c>
    </x:row>
    <x:row r="61" ht="48" customHeight="1">
      <x:c r="A61" s="9" t="str">
        <x:v>Royal Enfield</x:v>
      </x:c>
      <x:c r="B61" s="9" t="str">
        <x:v>Shotgun 650</x:v>
      </x:c>
      <x:c r="C61" s="9" t="str">
        <x:v>Não delimitado na fonte</x:v>
      </x:c>
      <x:c r="D61" s="12" t="str">
        <x:v>100/90-18</x:v>
      </x:c>
      <x:c r="E61" s="12" t="str">
        <x:v>150/70R17</x:v>
      </x:c>
      <x:c r="F61" s="9" t="str">
        <x:v>Medida confirmada na fonte</x:v>
      </x:c>
      <x:c r="G61" s="9" t="str">
        <x:v>S047</x:v>
      </x:c>
      <x:c r="H61" s="9" t="str">
        <x:v>Ficha específica Brasil, p.2. Dianteiro aro 18; não importar divergência de PDF francês.</x:v>
      </x:c>
      <x:c r="I61" s="9" t="str">
        <x:v>M054</x:v>
      </x:c>
    </x:row>
    <x:row r="62" ht="48" customHeight="1">
      <x:c r="A62" s="10" t="str">
        <x:v>Royal Enfield</x:v>
      </x:c>
      <x:c r="B62" s="10" t="str">
        <x:v>Super Meteor 650</x:v>
      </x:c>
      <x:c r="C62" s="10" t="str">
        <x:v>Não delimitado na fonte</x:v>
      </x:c>
      <x:c r="D62" s="13" t="str">
        <x:v>100/90-19</x:v>
      </x:c>
      <x:c r="E62" s="13" t="str">
        <x:v>150/80B16</x:v>
      </x:c>
      <x:c r="F62" s="10" t="str">
        <x:v>Medida confirmada na fonte</x:v>
      </x:c>
      <x:c r="G62" s="10" t="str">
        <x:v>S046</x:v>
      </x:c>
      <x:c r="H62" s="10" t="str">
        <x:v>Ficha em português ligada ao site brasileiro, p.2. Traseiro B16, diagonal cintado; não apagar a letra B.</x:v>
      </x:c>
      <x:c r="I62" s="10" t="str">
        <x:v>M053</x:v>
      </x:c>
    </x:row>
    <x:row r="63" ht="48" customHeight="1">
      <x:c r="A63" s="9" t="str">
        <x:v>Suzuki</x:v>
      </x:c>
      <x:c r="B63" s="9" t="str">
        <x:v>Boulevard M50 / Intruder M800</x:v>
      </x:c>
      <x:c r="C63" s="9" t="str">
        <x:v>2005 — arquivo global</x:v>
      </x:c>
      <x:c r="D63" s="12" t="str">
        <x:v>130/90-16</x:v>
      </x:c>
      <x:c r="E63" s="12" t="str">
        <x:v>170/80-15</x:v>
      </x:c>
      <x:c r="F63" s="11" t="str">
        <x:v>Referência internacional</x:v>
      </x:c>
      <x:c r="G63" s="11" t="str">
        <x:v>S034</x:v>
      </x:c>
      <x:c r="H63" s="9" t="str">
        <x:v>Arquivo histórico oficial. Necessário confirmar ano/versão do exemplar brasileiro.</x:v>
      </x:c>
      <x:c r="I63" s="9" t="str">
        <x:v>M036</x:v>
      </x:c>
    </x:row>
    <x:row r="64" ht="48" customHeight="1">
      <x:c r="A64" s="10" t="str">
        <x:v>Suzuki</x:v>
      </x:c>
      <x:c r="B64" s="10" t="str">
        <x:v>Burgman 125i</x:v>
      </x:c>
      <x:c r="C64" s="10" t="str">
        <x:v>Não delimitado na fonte</x:v>
      </x:c>
      <x:c r="D64" s="13" t="str">
        <x:v>90/90-10</x:v>
      </x:c>
      <x:c r="E64" s="13" t="str">
        <x:v>100/90-10</x:v>
      </x:c>
      <x:c r="F64" s="10" t="str">
        <x:v>Medida confirmada na fonte</x:v>
      </x:c>
      <x:c r="G64" s="10" t="str">
        <x:v>S030</x:v>
      </x:c>
      <x:c r="H64" s="10" t="str">
        <x:v>Pirelli SL26; manual p.57. Revisar eventual cadastro com 90/90-10 na traseira.</x:v>
      </x:c>
      <x:c r="I64" s="10" t="str">
        <x:v>M032</x:v>
      </x:c>
    </x:row>
    <x:row r="65" ht="48" customHeight="1">
      <x:c r="A65" s="9" t="str">
        <x:v>Suzuki</x:v>
      </x:c>
      <x:c r="B65" s="9" t="str">
        <x:v>Burgman 400</x:v>
      </x:c>
      <x:c r="C65" s="9" t="str">
        <x:v>2007</x:v>
      </x:c>
      <x:c r="D65" s="12" t="str">
        <x:v>120/80-14</x:v>
      </x:c>
      <x:c r="E65" s="12" t="str">
        <x:v>150/70-13</x:v>
      </x:c>
      <x:c r="F65" s="11" t="str">
        <x:v>Reposição — confirmar manual</x:v>
      </x:c>
      <x:c r="G65" s="11" t="str">
        <x:v>S031</x:v>
      </x:c>
      <x:c r="H65" s="9" t="str">
        <x:v>Seletor Michelin. Índices são da referência de reposição, não mínimos OEM certificados. Geração dianteira aro 14.</x:v>
      </x:c>
      <x:c r="I65" s="9" t="str">
        <x:v>M033</x:v>
      </x:c>
    </x:row>
    <x:row r="66" ht="48" customHeight="1">
      <x:c r="A66" s="10" t="str">
        <x:v>Suzuki</x:v>
      </x:c>
      <x:c r="B66" s="10" t="str">
        <x:v>Burgman 400</x:v>
      </x:c>
      <x:c r="C66" s="10" t="str">
        <x:v>2025 — EUA</x:v>
      </x:c>
      <x:c r="D66" s="13" t="str">
        <x:v>120/70-15</x:v>
      </x:c>
      <x:c r="E66" s="13" t="str">
        <x:v>150/70-13</x:v>
      </x:c>
      <x:c r="F66" s="11" t="str">
        <x:v>Referência internacional</x:v>
      </x:c>
      <x:c r="G66" s="11" t="str">
        <x:v>S032</x:v>
      </x:c>
      <x:c r="H66" s="10" t="str">
        <x:v>Ficha norte-americana. Nova geração com dianteiro aro 15; confirmar aplicação brasileira.</x:v>
      </x:c>
      <x:c r="I66" s="10" t="str">
        <x:v>M034</x:v>
      </x:c>
    </x:row>
    <x:row r="67" ht="48" customHeight="1">
      <x:c r="A67" s="9" t="str">
        <x:v>Suzuki</x:v>
      </x:c>
      <x:c r="B67" s="9" t="str">
        <x:v>Burgman 650 EX</x:v>
      </x:c>
      <x:c r="C67" s="9" t="str">
        <x:v>Não delimitado na fonte</x:v>
      </x:c>
      <x:c r="D67" s="12" t="str">
        <x:v>120/70R15</x:v>
      </x:c>
      <x:c r="E67" s="12" t="str">
        <x:v>160/60R14</x:v>
      </x:c>
      <x:c r="F67" s="9" t="str">
        <x:v>Medida confirmada na fonte</x:v>
      </x:c>
      <x:c r="G67" s="9" t="str">
        <x:v>S033</x:v>
      </x:c>
      <x:c r="H67" s="9" t="str">
        <x:v>PDF p.31 e p.37; Bridgestone TH01F / TH01RM. R indica construção radial, inclusive nos aros 15 e 14.</x:v>
      </x:c>
      <x:c r="I67" s="9" t="str">
        <x:v>M035</x:v>
      </x:c>
    </x:row>
    <x:row r="68" ht="48" customHeight="1">
      <x:c r="A68" s="10" t="str">
        <x:v>Suzuki</x:v>
      </x:c>
      <x:c r="B68" s="10" t="str">
        <x:v>GSX-8S</x:v>
      </x:c>
      <x:c r="C68" s="10" t="str">
        <x:v>2026</x:v>
      </x:c>
      <x:c r="D68" s="13" t="str">
        <x:v>120/70ZR17</x:v>
      </x:c>
      <x:c r="E68" s="13" t="str">
        <x:v>180/55ZR17</x:v>
      </x:c>
      <x:c r="F68" s="10" t="str">
        <x:v>Medida confirmada na fonte</x:v>
      </x:c>
      <x:c r="G68" s="10" t="str">
        <x:v>S040</x:v>
      </x:c>
      <x:c r="H68" s="10" t="str">
        <x:v>Dunlop Sportmax Roadsport2; índices não preenchidos porque não constam no trecho da ficha consultado.</x:v>
      </x:c>
      <x:c r="I68" s="10" t="str">
        <x:v>M042</x:v>
      </x:c>
    </x:row>
    <x:row r="69" ht="48" customHeight="1">
      <x:c r="A69" s="9" t="str">
        <x:v>Suzuki</x:v>
      </x:c>
      <x:c r="B69" s="9" t="str">
        <x:v>GSX-R1000R ABS</x:v>
      </x:c>
      <x:c r="C69" s="9" t="str">
        <x:v>Catálogo publicado em 2019</x:v>
      </x:c>
      <x:c r="D69" s="12" t="str">
        <x:v>120/70ZR17</x:v>
      </x:c>
      <x:c r="E69" s="12" t="str">
        <x:v>190/55ZR17</x:v>
      </x:c>
      <x:c r="F69" s="9" t="str">
        <x:v>Medida confirmada na fonte</x:v>
      </x:c>
      <x:c r="G69" s="9" t="str">
        <x:v>S038</x:v>
      </x:c>
      <x:c r="H69" s="9" t="str">
        <x:v>Data do catálogo não delimita anos-modelo. Traseiro perfil 55, diferente da GSX-S1000 perfil 50.</x:v>
      </x:c>
      <x:c r="I69" s="9" t="str">
        <x:v>M040</x:v>
      </x:c>
    </x:row>
    <x:row r="70" ht="48" customHeight="1">
      <x:c r="A70" s="10" t="str">
        <x:v>Suzuki</x:v>
      </x:c>
      <x:c r="B70" s="10" t="str">
        <x:v>GSX-S1000</x:v>
      </x:c>
      <x:c r="C70" s="10" t="str">
        <x:v>Não delimitado na fonte</x:v>
      </x:c>
      <x:c r="D70" s="13" t="str">
        <x:v>120/70ZR17</x:v>
      </x:c>
      <x:c r="E70" s="13" t="str">
        <x:v>190/50ZR17</x:v>
      </x:c>
      <x:c r="F70" s="10" t="str">
        <x:v>Medida confirmada na fonte</x:v>
      </x:c>
      <x:c r="G70" s="10" t="str">
        <x:v>S035</x:v>
      </x:c>
      <x:c r="H70" s="10" t="str"/>
      <x:c r="I70" s="10" t="str">
        <x:v>M037</x:v>
      </x:c>
    </x:row>
    <x:row r="71" ht="48" customHeight="1">
      <x:c r="A71" s="9" t="str">
        <x:v>Suzuki</x:v>
      </x:c>
      <x:c r="B71" s="9" t="str">
        <x:v>GSX-S1000 GT</x:v>
      </x:c>
      <x:c r="C71" s="9" t="str">
        <x:v>Não delimitado na fonte</x:v>
      </x:c>
      <x:c r="D71" s="12" t="str">
        <x:v>120/70ZR17</x:v>
      </x:c>
      <x:c r="E71" s="12" t="str">
        <x:v>190/50ZR17</x:v>
      </x:c>
      <x:c r="F71" s="9" t="str">
        <x:v>Medida confirmada na fonte</x:v>
      </x:c>
      <x:c r="G71" s="9" t="str">
        <x:v>S036</x:v>
      </x:c>
      <x:c r="H71" s="9" t="str"/>
      <x:c r="I71" s="9" t="str">
        <x:v>M038</x:v>
      </x:c>
    </x:row>
    <x:row r="72" ht="48" customHeight="1">
      <x:c r="A72" s="10" t="str">
        <x:v>Suzuki</x:v>
      </x:c>
      <x:c r="B72" s="10" t="str">
        <x:v>GSX-S1000 GX</x:v>
      </x:c>
      <x:c r="C72" s="10" t="str">
        <x:v>Não delimitado na fonte</x:v>
      </x:c>
      <x:c r="D72" s="13" t="str">
        <x:v>120/70ZR17</x:v>
      </x:c>
      <x:c r="E72" s="13" t="str">
        <x:v>190/50ZR17</x:v>
      </x:c>
      <x:c r="F72" s="10" t="str">
        <x:v>Medida confirmada na fonte</x:v>
      </x:c>
      <x:c r="G72" s="10" t="str">
        <x:v>S037</x:v>
      </x:c>
      <x:c r="H72" s="10" t="str">
        <x:v>Índices transcritos da ficha; conferir marcações completas no manual e no pneu.</x:v>
      </x:c>
      <x:c r="I72" s="10" t="str">
        <x:v>M039</x:v>
      </x:c>
    </x:row>
    <x:row r="73" ht="48" customHeight="1">
      <x:c r="A73" s="9" t="str">
        <x:v>Suzuki</x:v>
      </x:c>
      <x:c r="B73" s="9" t="str">
        <x:v>V-Strom 650A / 650XT</x:v>
      </x:c>
      <x:c r="C73" s="9" t="str">
        <x:v>Não delimitado na fonte</x:v>
      </x:c>
      <x:c r="D73" s="12" t="str">
        <x:v>110/80R19</x:v>
      </x:c>
      <x:c r="E73" s="12" t="str">
        <x:v>150/70R17</x:v>
      </x:c>
      <x:c r="F73" s="9" t="str">
        <x:v>Medida confirmada na fonte</x:v>
      </x:c>
      <x:c r="G73" s="9" t="str">
        <x:v>S039</x:v>
      </x:c>
      <x:c r="H73" s="9" t="str"/>
      <x:c r="I73" s="9" t="str">
        <x:v>M041</x:v>
      </x:c>
    </x:row>
    <x:row r="74" ht="48" customHeight="1">
      <x:c r="A74" s="10" t="str">
        <x:v>Suzuki</x:v>
      </x:c>
      <x:c r="B74" s="10" t="str">
        <x:v>V-Strom 800DE</x:v>
      </x:c>
      <x:c r="C74" s="10" t="str">
        <x:v>Não delimitado na fonte</x:v>
      </x:c>
      <x:c r="D74" s="13" t="str">
        <x:v>90/90-21</x:v>
      </x:c>
      <x:c r="E74" s="13" t="str">
        <x:v>150/70R17</x:v>
      </x:c>
      <x:c r="F74" s="10" t="str">
        <x:v>Medida confirmada na fonte</x:v>
      </x:c>
      <x:c r="G74" s="10" t="str">
        <x:v>S041</x:v>
      </x:c>
      <x:c r="H74" s="10" t="str">
        <x:v>Ficha brasileira declara câmara nos dois eixos, inclusive no traseiro radial.</x:v>
      </x:c>
      <x:c r="I74" s="10" t="str">
        <x:v>M043</x:v>
      </x:c>
    </x:row>
    <x:row r="75" ht="48" customHeight="1">
      <x:c r="A75" s="9" t="str">
        <x:v>Triumph</x:v>
      </x:c>
      <x:c r="B75" s="9" t="str">
        <x:v>Scrambler 1200 X / XE</x:v>
      </x:c>
      <x:c r="C75" s="9" t="str">
        <x:v>Não delimitado na fonte</x:v>
      </x:c>
      <x:c r="D75" s="12" t="str">
        <x:v>90/90-21</x:v>
      </x:c>
      <x:c r="E75" s="12" t="str">
        <x:v>150/70R17</x:v>
      </x:c>
      <x:c r="F75" s="9" t="str">
        <x:v>Medida confirmada na fonte</x:v>
      </x:c>
      <x:c r="G75" s="9" t="str">
        <x:v>S077</x:v>
      </x:c>
      <x:c r="H75" s="9" t="str"/>
      <x:c r="I75" s="9" t="str">
        <x:v>M083</x:v>
      </x:c>
    </x:row>
    <x:row r="76" ht="48" customHeight="1">
      <x:c r="A76" s="10" t="str">
        <x:v>Triumph</x:v>
      </x:c>
      <x:c r="B76" s="10" t="str">
        <x:v>Scrambler 400 X</x:v>
      </x:c>
      <x:c r="C76" s="10" t="str">
        <x:v>Geração de lançamento 2024</x:v>
      </x:c>
      <x:c r="D76" s="13" t="str">
        <x:v>100/90-19</x:v>
      </x:c>
      <x:c r="E76" s="13" t="str">
        <x:v>140/80R17</x:v>
      </x:c>
      <x:c r="F76" s="10" t="str">
        <x:v>Medida confirmada na fonte</x:v>
      </x:c>
      <x:c r="G76" s="10" t="str">
        <x:v>S076</x:v>
      </x:c>
      <x:c r="H76" s="10" t="str">
        <x:v>Manual brasileiro, p.178. Dianteiro com hífen; não copiar R do comunicado de lançamento.</x:v>
      </x:c>
      <x:c r="I76" s="10" t="str">
        <x:v>M082</x:v>
      </x:c>
    </x:row>
    <x:row r="77" ht="48" customHeight="1">
      <x:c r="A77" s="9" t="str">
        <x:v>Triumph</x:v>
      </x:c>
      <x:c r="B77" s="9" t="str">
        <x:v>Speed 400</x:v>
      </x:c>
      <x:c r="C77" s="9" t="str">
        <x:v>Geração de lançamento 2024</x:v>
      </x:c>
      <x:c r="D77" s="12" t="str">
        <x:v>110/70R17</x:v>
      </x:c>
      <x:c r="E77" s="12" t="str">
        <x:v>150/60R17</x:v>
      </x:c>
      <x:c r="F77" s="9" t="str">
        <x:v>Medida confirmada na fonte</x:v>
      </x:c>
      <x:c r="G77" s="9" t="str">
        <x:v>S076</x:v>
      </x:c>
      <x:c r="H77" s="9" t="str">
        <x:v>Manual brasileiro, p.178.</x:v>
      </x:c>
      <x:c r="I77" s="9" t="str">
        <x:v>M081</x:v>
      </x:c>
    </x:row>
    <x:row r="78" ht="48" customHeight="1">
      <x:c r="A78" s="10" t="str">
        <x:v>Yamaha</x:v>
      </x:c>
      <x:c r="B78" s="10" t="str">
        <x:v>Aerox ABS Connected</x:v>
      </x:c>
      <x:c r="C78" s="10" t="str">
        <x:v>2026</x:v>
      </x:c>
      <x:c r="D78" s="13" t="str">
        <x:v>110/80-14</x:v>
      </x:c>
      <x:c r="E78" s="13" t="str">
        <x:v>140/70-14</x:v>
      </x:c>
      <x:c r="F78" s="10" t="str">
        <x:v>Medida confirmada na fonte</x:v>
      </x:c>
      <x:c r="G78" s="10" t="str">
        <x:v>S025</x:v>
      </x:c>
      <x:c r="H78" s="10" t="str"/>
      <x:c r="I78" s="10" t="str">
        <x:v>M027</x:v>
      </x:c>
    </x:row>
    <x:row r="79" ht="48" customHeight="1">
      <x:c r="A79" s="9" t="str">
        <x:v>Yamaha</x:v>
      </x:c>
      <x:c r="B79" s="9" t="str">
        <x:v>Crosser 150</x:v>
      </x:c>
      <x:c r="C79" s="9" t="str">
        <x:v>2022</x:v>
      </x:c>
      <x:c r="D79" s="12" t="str">
        <x:v>90/90-19</x:v>
      </x:c>
      <x:c r="E79" s="12" t="str">
        <x:v>110/90-17</x:v>
      </x:c>
      <x:c r="F79" s="9" t="str">
        <x:v>Medida confirmada na fonte</x:v>
      </x:c>
      <x:c r="G79" s="9" t="str">
        <x:v>S020</x:v>
      </x:c>
      <x:c r="H79" s="9" t="str">
        <x:v>Manual, p.6-22; Metzeler Tourance. Link legado pode redirecionar ao portal Yamaha.</x:v>
      </x:c>
      <x:c r="I79" s="9" t="str">
        <x:v>M022</x:v>
      </x:c>
    </x:row>
    <x:row r="80" ht="48" customHeight="1">
      <x:c r="A80" s="10" t="str">
        <x:v>Yamaha</x:v>
      </x:c>
      <x:c r="B80" s="10" t="str">
        <x:v>Factor 150 ED</x:v>
      </x:c>
      <x:c r="C80" s="10" t="str">
        <x:v>2022</x:v>
      </x:c>
      <x:c r="D80" s="13" t="str">
        <x:v>2.75-18</x:v>
      </x:c>
      <x:c r="E80" s="13" t="str">
        <x:v>90/90-18</x:v>
      </x:c>
      <x:c r="F80" s="10" t="str">
        <x:v>Medida confirmada na fonte</x:v>
      </x:c>
      <x:c r="G80" s="10" t="str">
        <x:v>S022</x:v>
      </x:c>
      <x:c r="H80" s="10" t="str">
        <x:v>Figuras 24 e 26. Não converter 2.75 automaticamente em uma medida métrica.</x:v>
      </x:c>
      <x:c r="I80" s="10" t="str">
        <x:v>M024</x:v>
      </x:c>
    </x:row>
    <x:row r="81" ht="48" customHeight="1">
      <x:c r="A81" s="9" t="str">
        <x:v>Yamaha</x:v>
      </x:c>
      <x:c r="B81" s="9" t="str">
        <x:v>FZ25</x:v>
      </x:c>
      <x:c r="C81" s="9" t="str">
        <x:v>2022</x:v>
      </x:c>
      <x:c r="D81" s="12" t="str">
        <x:v>100/80-17</x:v>
      </x:c>
      <x:c r="E81" s="12" t="str">
        <x:v>140/70-17</x:v>
      </x:c>
      <x:c r="F81" s="11" t="str">
        <x:v>Reposição — confirmar manual</x:v>
      </x:c>
      <x:c r="G81" s="11" t="str">
        <x:v>S023</x:v>
      </x:c>
      <x:c r="H81" s="9" t="str">
        <x:v>Medidas do seletor Michelin. Índices do seletor não tratados como mínimos OEM; conferir manual brasileiro antes de aprovar SKU.</x:v>
      </x:c>
      <x:c r="I81" s="9" t="str">
        <x:v>M025</x:v>
      </x:c>
    </x:row>
    <x:row r="82" ht="48" customHeight="1">
      <x:c r="A82" s="10" t="str">
        <x:v>Yamaha</x:v>
      </x:c>
      <x:c r="B82" s="10" t="str">
        <x:v>MT-07</x:v>
      </x:c>
      <x:c r="C82" s="10" t="str">
        <x:v>2021 — Japão</x:v>
      </x:c>
      <x:c r="D82" s="13" t="str">
        <x:v>120/70ZR17</x:v>
      </x:c>
      <x:c r="E82" s="13" t="str">
        <x:v>180/55ZR17</x:v>
      </x:c>
      <x:c r="F82" s="11" t="str">
        <x:v>Referência internacional</x:v>
      </x:c>
      <x:c r="G82" s="11" t="str">
        <x:v>S029</x:v>
      </x:c>
      <x:c r="H82" s="10" t="str"/>
      <x:c r="I82" s="10" t="str">
        <x:v>M031</x:v>
      </x:c>
    </x:row>
    <x:row r="83" ht="48" customHeight="1">
      <x:c r="A83" s="9" t="str">
        <x:v>Yamaha</x:v>
      </x:c>
      <x:c r="B83" s="9" t="str">
        <x:v>NMAX 160</x:v>
      </x:c>
      <x:c r="C83" s="9" t="str">
        <x:v>2022</x:v>
      </x:c>
      <x:c r="D83" s="12" t="str">
        <x:v>110/70-13</x:v>
      </x:c>
      <x:c r="E83" s="12" t="str">
        <x:v>130/70-13</x:v>
      </x:c>
      <x:c r="F83" s="9" t="str">
        <x:v>Medida confirmada na fonte</x:v>
      </x:c>
      <x:c r="G83" s="9" t="str">
        <x:v>S021</x:v>
      </x:c>
      <x:c r="H83" s="9" t="str">
        <x:v>Manual, p.8-28; IRC. Link legado pode redirecionar ao portal Yamaha.</x:v>
      </x:c>
      <x:c r="I83" s="9" t="str">
        <x:v>M023</x:v>
      </x:c>
    </x:row>
    <x:row r="84" ht="48" customHeight="1">
      <x:c r="A84" s="10" t="str">
        <x:v>Yamaha</x:v>
      </x:c>
      <x:c r="B84" s="10" t="str">
        <x:v>R15 ABS</x:v>
      </x:c>
      <x:c r="C84" s="10" t="str">
        <x:v>2026</x:v>
      </x:c>
      <x:c r="D84" s="13" t="str">
        <x:v>100/80-17</x:v>
      </x:c>
      <x:c r="E84" s="13" t="str">
        <x:v>140/70-17</x:v>
      </x:c>
      <x:c r="F84" s="10" t="str">
        <x:v>Medida confirmada na fonte</x:v>
      </x:c>
      <x:c r="G84" s="10" t="str">
        <x:v>S024</x:v>
      </x:c>
      <x:c r="H84" s="10" t="str"/>
      <x:c r="I84" s="10" t="str">
        <x:v>M026</x:v>
      </x:c>
    </x:row>
    <x:row r="85" ht="48" customHeight="1">
      <x:c r="A85" s="9" t="str">
        <x:v>Yamaha</x:v>
      </x:c>
      <x:c r="B85" s="9" t="str">
        <x:v>XMAX 250</x:v>
      </x:c>
      <x:c r="C85" s="9" t="str">
        <x:v>2021 — Japão</x:v>
      </x:c>
      <x:c r="D85" s="12" t="str">
        <x:v>120/70-15</x:v>
      </x:c>
      <x:c r="E85" s="12" t="str">
        <x:v>140/70-14</x:v>
      </x:c>
      <x:c r="F85" s="11" t="str">
        <x:v>Referência internacional</x:v>
      </x:c>
      <x:c r="G85" s="11" t="str">
        <x:v>S028</x:v>
      </x:c>
      <x:c r="H85" s="9" t="str">
        <x:v>Referência japonesa. Confirmar o manual e ano do exemplar brasileiro; não tratar como faixa brasileira inteira.</x:v>
      </x:c>
      <x:c r="I85" s="9" t="str">
        <x:v>M030</x:v>
      </x:c>
    </x:row>
    <x:row r="86" ht="48" customHeight="1">
      <x:c r="A86" s="10" t="str">
        <x:v>Yamaha</x:v>
      </x:c>
      <x:c r="B86" s="10" t="str">
        <x:v>XMAX 300 Connected</x:v>
      </x:c>
      <x:c r="C86" s="10" t="str">
        <x:v>2026</x:v>
      </x:c>
      <x:c r="D86" s="13" t="str">
        <x:v>120/70-15</x:v>
      </x:c>
      <x:c r="E86" s="13" t="str">
        <x:v>140/70-14</x:v>
      </x:c>
      <x:c r="F86" s="10" t="str">
        <x:v>Medida confirmada na fonte</x:v>
      </x:c>
      <x:c r="G86" s="10" t="str">
        <x:v>S027</x:v>
      </x:c>
      <x:c r="H86" s="10" t="str">
        <x:v>Ficha estruturada do produto NOVA XMAX 300 CONNECTED, referência BPX200010C-26; Dunlop.</x:v>
      </x:c>
      <x:c r="I86" s="10" t="str">
        <x:v>M029</x:v>
      </x:c>
    </x:row>
    <x:row r="87" ht="48" customHeight="1">
      <x:c r="A87" s="9" t="str">
        <x:v>Yamaha</x:v>
      </x:c>
      <x:c r="B87" s="9" t="str">
        <x:v>ZR Hybrid Connected</x:v>
      </x:c>
      <x:c r="C87" s="9" t="str">
        <x:v>2026</x:v>
      </x:c>
      <x:c r="D87" s="12" t="str">
        <x:v>90/90-12</x:v>
      </x:c>
      <x:c r="E87" s="12" t="str">
        <x:v>110/90-10</x:v>
      </x:c>
      <x:c r="F87" s="9" t="str">
        <x:v>Medida confirmada na fonte</x:v>
      </x:c>
      <x:c r="G87" s="9" t="str">
        <x:v>S026</x:v>
      </x:c>
      <x:c r="H87" s="9" t="str"/>
      <x:c r="I87" s="9" t="str">
        <x:v>M028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76956ca5844440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18" hidden="0" customWidth="1"/>
    <x:col min="5" max="5" width="30" hidden="0" customWidth="1"/>
    <x:col min="6" max="6" width="30" hidden="0" customWidth="1"/>
    <x:col min="7" max="7" width="14" hidden="0" customWidth="1"/>
    <x:col min="8" max="8" width="12" hidden="0" customWidth="1"/>
    <x:col min="9" max="9" width="14" hidden="0" customWidth="1"/>
    <x:col min="10" max="10" width="30" hidden="0" customWidth="1"/>
    <x:col min="11" max="11" width="25" hidden="0" customWidth="1"/>
    <x:col min="12" max="12" width="27" hidden="0" customWidth="1"/>
    <x:col min="13" max="13" width="31" hidden="0" customWidth="1"/>
    <x:col min="14" max="14" width="14" hidden="0" customWidth="1"/>
    <x:col min="15" max="15" width="30" hidden="0" customWidth="1"/>
    <x:col min="16" max="16" width="78" hidden="0" customWidth="1"/>
    <x:col min="17" max="17" width="9" hidden="0" customWidth="1"/>
  </x:cols>
  <x:sheetData>
    <x:row r="1" ht="34" customHeight="1">
      <x:c r="A1" s="5" t="str">
        <x:v>FAREJADOR | Uma linha por posição e medida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6" customHeight="1">
      <x:c r="A2" s="6" t="str">
        <x:v>Filtre por aro, largura, medida, posição e marca • ND = não confirmado na fonte • variantes em polegadas NÃO são convertidas para milímetros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30" customHeight="1">
      <x:c r="A4" s="8" t="str">
        <x:v>Aro (pol.)</x:v>
      </x:c>
      <x:c r="B4" s="8" t="str">
        <x:v>Medida completa</x:v>
      </x:c>
      <x:c r="C4" s="8" t="str">
        <x:v>Posição</x:v>
      </x:c>
      <x:c r="D4" s="8" t="str">
        <x:v>Marca</x:v>
      </x:c>
      <x:c r="E4" s="8" t="str">
        <x:v>Modelo / versão</x:v>
      </x:c>
      <x:c r="F4" s="8" t="str">
        <x:v>Ano ou referência</x:v>
      </x:c>
      <x:c r="G4" s="8" t="str">
        <x:v>Largura (mm)</x:v>
      </x:c>
      <x:c r="H4" s="8" t="str">
        <x:v>Perfil (%)</x:v>
      </x:c>
      <x:c r="I4" s="8" t="str">
        <x:v>Largura (pol.)</x:v>
      </x:c>
      <x:c r="J4" s="8" t="str">
        <x:v>Construção / notação</x:v>
      </x:c>
      <x:c r="K4" s="8" t="str">
        <x:v>Índice na fonte</x:v>
      </x:c>
      <x:c r="L4" s="8" t="str">
        <x:v>Montagem</x:v>
      </x:c>
      <x:c r="M4" s="8" t="str">
        <x:v>Validação da fonte</x:v>
      </x:c>
      <x:c r="N4" s="8" t="str">
        <x:v>Fontes</x:v>
      </x:c>
      <x:c r="O4" s="8" t="str">
        <x:v>Alternativa</x:v>
      </x:c>
      <x:c r="P4" s="8" t="str">
        <x:v>Observações</x:v>
      </x:c>
      <x:c r="Q4" s="8" t="str">
        <x:v>ID</x:v>
      </x:c>
    </x:row>
    <x:row r="5" ht="48" customHeight="1">
      <x:c r="A5" s="14" t="n">
        <x:v>10</x:v>
      </x:c>
      <x:c r="B5" s="12" t="str">
        <x:v>90/90-10</x:v>
      </x:c>
      <x:c r="C5" s="9" t="str">
        <x:v>Dianteiro</x:v>
      </x:c>
      <x:c r="D5" s="9" t="str">
        <x:v>Haojue</x:v>
      </x:c>
      <x:c r="E5" s="9" t="str">
        <x:v>Lindy 125</x:v>
      </x:c>
      <x:c r="F5" s="9" t="str">
        <x:v>Não delimitado na fonte</x:v>
      </x:c>
      <x:c r="G5" s="14" t="n">
        <x:v>90</x:v>
      </x:c>
      <x:c r="H5" s="14" t="n">
        <x:v>90</x:v>
      </x:c>
      <x:c r="I5" s="16"/>
      <x:c r="J5" s="9" t="str">
        <x:v>Hífen na fonte; verificar SKU</x:v>
      </x:c>
      <x:c r="K5" s="9" t="str">
        <x:v>50J</x:v>
      </x:c>
      <x:c r="L5" s="9" t="str">
        <x:v>Sem câmara</x:v>
      </x:c>
      <x:c r="M5" s="9" t="str">
        <x:v>Medida confirmada na fonte</x:v>
      </x:c>
      <x:c r="N5" s="9" t="str">
        <x:v>S067</x:v>
      </x:c>
      <x:c r="O5" s="9" t="str">
        <x:v>Única referência nesta ficha</x:v>
      </x:c>
      <x:c r="P5" s="9" t="str">
        <x:v>Assim como a Burgman i, não cadastrar 90/90-10 automaticamente como traseiro.</x:v>
      </x:c>
      <x:c r="Q5" s="9" t="str">
        <x:v>M072</x:v>
      </x:c>
    </x:row>
    <x:row r="6" ht="48" customHeight="1">
      <x:c r="A6" s="15" t="n">
        <x:v>10</x:v>
      </x:c>
      <x:c r="B6" s="13" t="str">
        <x:v>90/90-10</x:v>
      </x:c>
      <x:c r="C6" s="10" t="str">
        <x:v>Dianteiro</x:v>
      </x:c>
      <x:c r="D6" s="10" t="str">
        <x:v>Suzuki</x:v>
      </x:c>
      <x:c r="E6" s="10" t="str">
        <x:v>Burgman 125i</x:v>
      </x:c>
      <x:c r="F6" s="10" t="str">
        <x:v>Não delimitado na fonte</x:v>
      </x:c>
      <x:c r="G6" s="15" t="n">
        <x:v>90</x:v>
      </x:c>
      <x:c r="H6" s="15" t="n">
        <x:v>90</x:v>
      </x:c>
      <x:c r="I6" s="17"/>
      <x:c r="J6" s="10" t="str">
        <x:v>Hífen na fonte; verificar SKU</x:v>
      </x:c>
      <x:c r="K6" s="10" t="str">
        <x:v>50J</x:v>
      </x:c>
      <x:c r="L6" s="10" t="str">
        <x:v>Sem câmara</x:v>
      </x:c>
      <x:c r="M6" s="10" t="str">
        <x:v>Medida confirmada na fonte</x:v>
      </x:c>
      <x:c r="N6" s="10" t="str">
        <x:v>S030</x:v>
      </x:c>
      <x:c r="O6" s="10" t="str">
        <x:v>Única referência nesta ficha</x:v>
      </x:c>
      <x:c r="P6" s="10" t="str">
        <x:v>Pirelli SL26; manual p.57. Revisar eventual cadastro com 90/90-10 na traseira.</x:v>
      </x:c>
      <x:c r="Q6" s="10" t="str">
        <x:v>M032</x:v>
      </x:c>
    </x:row>
    <x:row r="7" ht="48" customHeight="1">
      <x:c r="A7" s="14" t="n">
        <x:v>10</x:v>
      </x:c>
      <x:c r="B7" s="12" t="str">
        <x:v>100/90-10</x:v>
      </x:c>
      <x:c r="C7" s="9" t="str">
        <x:v>Traseiro</x:v>
      </x:c>
      <x:c r="D7" s="9" t="str">
        <x:v>Haojue</x:v>
      </x:c>
      <x:c r="E7" s="9" t="str">
        <x:v>Lindy 125</x:v>
      </x:c>
      <x:c r="F7" s="9" t="str">
        <x:v>Não delimitado na fonte</x:v>
      </x:c>
      <x:c r="G7" s="14" t="n">
        <x:v>100</x:v>
      </x:c>
      <x:c r="H7" s="14" t="n">
        <x:v>90</x:v>
      </x:c>
      <x:c r="I7" s="16"/>
      <x:c r="J7" s="9" t="str">
        <x:v>Hífen na fonte; verificar SKU</x:v>
      </x:c>
      <x:c r="K7" s="9" t="str">
        <x:v>56J</x:v>
      </x:c>
      <x:c r="L7" s="9" t="str">
        <x:v>Sem câmara</x:v>
      </x:c>
      <x:c r="M7" s="9" t="str">
        <x:v>Medida confirmada na fonte</x:v>
      </x:c>
      <x:c r="N7" s="9" t="str">
        <x:v>S067</x:v>
      </x:c>
      <x:c r="O7" s="9" t="str">
        <x:v>Única referência nesta ficha</x:v>
      </x:c>
      <x:c r="P7" s="9" t="str">
        <x:v>Assim como a Burgman i, não cadastrar 90/90-10 automaticamente como traseiro.</x:v>
      </x:c>
      <x:c r="Q7" s="9" t="str">
        <x:v>M072</x:v>
      </x:c>
    </x:row>
    <x:row r="8" ht="48" customHeight="1">
      <x:c r="A8" s="15" t="n">
        <x:v>10</x:v>
      </x:c>
      <x:c r="B8" s="13" t="str">
        <x:v>100/90-10</x:v>
      </x:c>
      <x:c r="C8" s="10" t="str">
        <x:v>Traseiro</x:v>
      </x:c>
      <x:c r="D8" s="10" t="str">
        <x:v>Honda</x:v>
      </x:c>
      <x:c r="E8" s="10" t="str">
        <x:v>Elite 125</x:v>
      </x:c>
      <x:c r="F8" s="10" t="str">
        <x:v>2025</x:v>
      </x:c>
      <x:c r="G8" s="15" t="n">
        <x:v>100</x:v>
      </x:c>
      <x:c r="H8" s="15" t="n">
        <x:v>90</x:v>
      </x:c>
      <x:c r="I8" s="17"/>
      <x:c r="J8" s="10" t="str">
        <x:v>Hífen na fonte; verificar SKU</x:v>
      </x:c>
      <x:c r="K8" s="10" t="str">
        <x:v>ND</x:v>
      </x:c>
      <x:c r="L8" s="10" t="str">
        <x:v>ND</x:v>
      </x:c>
      <x:c r="M8" s="10" t="str">
        <x:v>Medida confirmada na fonte</x:v>
      </x:c>
      <x:c r="N8" s="10" t="str">
        <x:v>S016</x:v>
      </x:c>
      <x:c r="O8" s="10" t="str">
        <x:v>Única referência nesta ficha</x:v>
      </x:c>
      <x:c r="P8" s="10" t="str">
        <x:v>Pirelli Angel Scooter citado no lançamento.</x:v>
      </x:c>
      <x:c r="Q8" s="10" t="str">
        <x:v>M018</x:v>
      </x:c>
    </x:row>
    <x:row r="9" ht="48" customHeight="1">
      <x:c r="A9" s="14" t="n">
        <x:v>10</x:v>
      </x:c>
      <x:c r="B9" s="12" t="str">
        <x:v>100/90-10</x:v>
      </x:c>
      <x:c r="C9" s="9" t="str">
        <x:v>Traseiro</x:v>
      </x:c>
      <x:c r="D9" s="9" t="str">
        <x:v>Suzuki</x:v>
      </x:c>
      <x:c r="E9" s="9" t="str">
        <x:v>Burgman 125i</x:v>
      </x:c>
      <x:c r="F9" s="9" t="str">
        <x:v>Não delimitado na fonte</x:v>
      </x:c>
      <x:c r="G9" s="14" t="n">
        <x:v>100</x:v>
      </x:c>
      <x:c r="H9" s="14" t="n">
        <x:v>90</x:v>
      </x:c>
      <x:c r="I9" s="16"/>
      <x:c r="J9" s="9" t="str">
        <x:v>Hífen na fonte; verificar SKU</x:v>
      </x:c>
      <x:c r="K9" s="9" t="str">
        <x:v>56J</x:v>
      </x:c>
      <x:c r="L9" s="9" t="str">
        <x:v>Sem câmara</x:v>
      </x:c>
      <x:c r="M9" s="9" t="str">
        <x:v>Medida confirmada na fonte</x:v>
      </x:c>
      <x:c r="N9" s="9" t="str">
        <x:v>S030</x:v>
      </x:c>
      <x:c r="O9" s="9" t="str">
        <x:v>Única referência nesta ficha</x:v>
      </x:c>
      <x:c r="P9" s="9" t="str">
        <x:v>Pirelli SL26; manual p.57. Revisar eventual cadastro com 90/90-10 na traseira.</x:v>
      </x:c>
      <x:c r="Q9" s="9" t="str">
        <x:v>M032</x:v>
      </x:c>
    </x:row>
    <x:row r="10" ht="48" customHeight="1">
      <x:c r="A10" s="15" t="n">
        <x:v>10</x:v>
      </x:c>
      <x:c r="B10" s="13" t="str">
        <x:v>110/90-10</x:v>
      </x:c>
      <x:c r="C10" s="10" t="str">
        <x:v>Traseiro</x:v>
      </x:c>
      <x:c r="D10" s="10" t="str">
        <x:v>Yamaha</x:v>
      </x:c>
      <x:c r="E10" s="10" t="str">
        <x:v>ZR Hybrid Connected</x:v>
      </x:c>
      <x:c r="F10" s="10" t="str">
        <x:v>2026</x:v>
      </x:c>
      <x:c r="G10" s="15" t="n">
        <x:v>110</x:v>
      </x:c>
      <x:c r="H10" s="15" t="n">
        <x:v>90</x:v>
      </x:c>
      <x:c r="I10" s="17"/>
      <x:c r="J10" s="10" t="str">
        <x:v>Hífen na fonte; verificar SKU</x:v>
      </x:c>
      <x:c r="K10" s="10" t="str">
        <x:v>ND</x:v>
      </x:c>
      <x:c r="L10" s="10" t="str">
        <x:v>Sem câmara</x:v>
      </x:c>
      <x:c r="M10" s="10" t="str">
        <x:v>Medida confirmada na fonte</x:v>
      </x:c>
      <x:c r="N10" s="10" t="str">
        <x:v>S026</x:v>
      </x:c>
      <x:c r="O10" s="10" t="str">
        <x:v>Única referência nesta ficha</x:v>
      </x:c>
      <x:c r="P10" s="10" t="str"/>
      <x:c r="Q10" s="10" t="str">
        <x:v>M028</x:v>
      </x:c>
    </x:row>
    <x:row r="11" ht="48" customHeight="1">
      <x:c r="A11" s="14" t="n">
        <x:v>12</x:v>
      </x:c>
      <x:c r="B11" s="12" t="str">
        <x:v>90/90-12</x:v>
      </x:c>
      <x:c r="C11" s="9" t="str">
        <x:v>Dianteiro</x:v>
      </x:c>
      <x:c r="D11" s="9" t="str">
        <x:v>Honda</x:v>
      </x:c>
      <x:c r="E11" s="9" t="str">
        <x:v>Elite 125</x:v>
      </x:c>
      <x:c r="F11" s="9" t="str">
        <x:v>2025</x:v>
      </x:c>
      <x:c r="G11" s="14" t="n">
        <x:v>90</x:v>
      </x:c>
      <x:c r="H11" s="14" t="n">
        <x:v>90</x:v>
      </x:c>
      <x:c r="I11" s="16"/>
      <x:c r="J11" s="9" t="str">
        <x:v>Hífen na fonte; verificar SKU</x:v>
      </x:c>
      <x:c r="K11" s="9" t="str">
        <x:v>ND</x:v>
      </x:c>
      <x:c r="L11" s="9" t="str">
        <x:v>ND</x:v>
      </x:c>
      <x:c r="M11" s="9" t="str">
        <x:v>Medida confirmada na fonte</x:v>
      </x:c>
      <x:c r="N11" s="9" t="str">
        <x:v>S016</x:v>
      </x:c>
      <x:c r="O11" s="9" t="str">
        <x:v>Única referência nesta ficha</x:v>
      </x:c>
      <x:c r="P11" s="9" t="str">
        <x:v>Pirelli Angel Scooter citado no lançamento.</x:v>
      </x:c>
      <x:c r="Q11" s="9" t="str">
        <x:v>M018</x:v>
      </x:c>
    </x:row>
    <x:row r="12" ht="48" customHeight="1">
      <x:c r="A12" s="15" t="n">
        <x:v>12</x:v>
      </x:c>
      <x:c r="B12" s="13" t="str">
        <x:v>90/90-12</x:v>
      </x:c>
      <x:c r="C12" s="10" t="str">
        <x:v>Dianteiro</x:v>
      </x:c>
      <x:c r="D12" s="10" t="str">
        <x:v>Yamaha</x:v>
      </x:c>
      <x:c r="E12" s="10" t="str">
        <x:v>ZR Hybrid Connected</x:v>
      </x:c>
      <x:c r="F12" s="10" t="str">
        <x:v>2026</x:v>
      </x:c>
      <x:c r="G12" s="15" t="n">
        <x:v>90</x:v>
      </x:c>
      <x:c r="H12" s="15" t="n">
        <x:v>90</x:v>
      </x:c>
      <x:c r="I12" s="17"/>
      <x:c r="J12" s="10" t="str">
        <x:v>Hífen na fonte; verificar SKU</x:v>
      </x:c>
      <x:c r="K12" s="10" t="str">
        <x:v>ND</x:v>
      </x:c>
      <x:c r="L12" s="10" t="str">
        <x:v>Sem câmara</x:v>
      </x:c>
      <x:c r="M12" s="10" t="str">
        <x:v>Medida confirmada na fonte</x:v>
      </x:c>
      <x:c r="N12" s="10" t="str">
        <x:v>S026</x:v>
      </x:c>
      <x:c r="O12" s="10" t="str">
        <x:v>Única referência nesta ficha</x:v>
      </x:c>
      <x:c r="P12" s="10" t="str"/>
      <x:c r="Q12" s="10" t="str">
        <x:v>M028</x:v>
      </x:c>
    </x:row>
    <x:row r="13" ht="48" customHeight="1">
      <x:c r="A13" s="14" t="n">
        <x:v>13</x:v>
      </x:c>
      <x:c r="B13" s="12" t="str">
        <x:v>110/70-13</x:v>
      </x:c>
      <x:c r="C13" s="9" t="str">
        <x:v>Dianteiro</x:v>
      </x:c>
      <x:c r="D13" s="9" t="str">
        <x:v>Yamaha</x:v>
      </x:c>
      <x:c r="E13" s="9" t="str">
        <x:v>NMAX 160</x:v>
      </x:c>
      <x:c r="F13" s="9" t="str">
        <x:v>2022</x:v>
      </x:c>
      <x:c r="G13" s="14" t="n">
        <x:v>110</x:v>
      </x:c>
      <x:c r="H13" s="14" t="n">
        <x:v>70</x:v>
      </x:c>
      <x:c r="I13" s="16"/>
      <x:c r="J13" s="9" t="str">
        <x:v>Hífen na fonte; verificar SKU</x:v>
      </x:c>
      <x:c r="K13" s="9" t="str">
        <x:v>48P</x:v>
      </x:c>
      <x:c r="L13" s="9" t="str">
        <x:v>Sem câmara</x:v>
      </x:c>
      <x:c r="M13" s="9" t="str">
        <x:v>Medida confirmada na fonte</x:v>
      </x:c>
      <x:c r="N13" s="9" t="str">
        <x:v>S021</x:v>
      </x:c>
      <x:c r="O13" s="9" t="str">
        <x:v>Única referência nesta ficha</x:v>
      </x:c>
      <x:c r="P13" s="9" t="str">
        <x:v>Manual, p.8-28; IRC. Link legado pode redirecionar ao portal Yamaha.</x:v>
      </x:c>
      <x:c r="Q13" s="9" t="str">
        <x:v>M023</x:v>
      </x:c>
    </x:row>
    <x:row r="14" ht="48" customHeight="1">
      <x:c r="A14" s="15" t="n">
        <x:v>13</x:v>
      </x:c>
      <x:c r="B14" s="13" t="str">
        <x:v>130/70-13</x:v>
      </x:c>
      <x:c r="C14" s="10" t="str">
        <x:v>Traseiro</x:v>
      </x:c>
      <x:c r="D14" s="10" t="str">
        <x:v>Honda</x:v>
      </x:c>
      <x:c r="E14" s="10" t="str">
        <x:v>PCX 160</x:v>
      </x:c>
      <x:c r="F14" s="10" t="str">
        <x:v>2023</x:v>
      </x:c>
      <x:c r="G14" s="15" t="n">
        <x:v>130</x:v>
      </x:c>
      <x:c r="H14" s="15" t="n">
        <x:v>70</x:v>
      </x:c>
      <x:c r="I14" s="17"/>
      <x:c r="J14" s="10" t="str">
        <x:v>Hífen na fonte; verificar SKU</x:v>
      </x:c>
      <x:c r="K14" s="10" t="str">
        <x:v>ND</x:v>
      </x:c>
      <x:c r="L14" s="10" t="str">
        <x:v>ND</x:v>
      </x:c>
      <x:c r="M14" s="10" t="str">
        <x:v>Medida confirmada na fonte</x:v>
      </x:c>
      <x:c r="N14" s="10" t="str">
        <x:v>S014</x:v>
      </x:c>
      <x:c r="O14" s="10" t="str">
        <x:v>Única referência nesta ficha</x:v>
      </x:c>
      <x:c r="P14" s="10" t="str"/>
      <x:c r="Q14" s="10" t="str">
        <x:v>M016</x:v>
      </x:c>
    </x:row>
    <x:row r="15" ht="48" customHeight="1">
      <x:c r="A15" s="14" t="n">
        <x:v>13</x:v>
      </x:c>
      <x:c r="B15" s="12" t="str">
        <x:v>130/70-13</x:v>
      </x:c>
      <x:c r="C15" s="9" t="str">
        <x:v>Traseiro</x:v>
      </x:c>
      <x:c r="D15" s="9" t="str">
        <x:v>Honda</x:v>
      </x:c>
      <x:c r="E15" s="9" t="str">
        <x:v>ADV 160</x:v>
      </x:c>
      <x:c r="F15" s="9" t="str">
        <x:v>2025</x:v>
      </x:c>
      <x:c r="G15" s="14" t="n">
        <x:v>130</x:v>
      </x:c>
      <x:c r="H15" s="14" t="n">
        <x:v>70</x:v>
      </x:c>
      <x:c r="I15" s="16"/>
      <x:c r="J15" s="9" t="str">
        <x:v>Hífen na fonte; verificar SKU</x:v>
      </x:c>
      <x:c r="K15" s="9" t="str">
        <x:v>ND</x:v>
      </x:c>
      <x:c r="L15" s="9" t="str">
        <x:v>Sem câmara</x:v>
      </x:c>
      <x:c r="M15" s="9" t="str">
        <x:v>Medida confirmada na fonte</x:v>
      </x:c>
      <x:c r="N15" s="9" t="str">
        <x:v>S015</x:v>
      </x:c>
      <x:c r="O15" s="9" t="str">
        <x:v>Única referência nesta ficha</x:v>
      </x:c>
      <x:c r="P15" s="9" t="str"/>
      <x:c r="Q15" s="9" t="str">
        <x:v>M017</x:v>
      </x:c>
    </x:row>
    <x:row r="16" ht="48" customHeight="1">
      <x:c r="A16" s="15" t="n">
        <x:v>13</x:v>
      </x:c>
      <x:c r="B16" s="13" t="str">
        <x:v>130/70-13</x:v>
      </x:c>
      <x:c r="C16" s="10" t="str">
        <x:v>Traseiro</x:v>
      </x:c>
      <x:c r="D16" s="10" t="str">
        <x:v>Yamaha</x:v>
      </x:c>
      <x:c r="E16" s="10" t="str">
        <x:v>NMAX 160</x:v>
      </x:c>
      <x:c r="F16" s="10" t="str">
        <x:v>2022</x:v>
      </x:c>
      <x:c r="G16" s="15" t="n">
        <x:v>130</x:v>
      </x:c>
      <x:c r="H16" s="15" t="n">
        <x:v>70</x:v>
      </x:c>
      <x:c r="I16" s="17"/>
      <x:c r="J16" s="10" t="str">
        <x:v>Hífen na fonte; verificar SKU</x:v>
      </x:c>
      <x:c r="K16" s="10" t="str">
        <x:v>63P</x:v>
      </x:c>
      <x:c r="L16" s="10" t="str">
        <x:v>Sem câmara</x:v>
      </x:c>
      <x:c r="M16" s="10" t="str">
        <x:v>Medida confirmada na fonte</x:v>
      </x:c>
      <x:c r="N16" s="10" t="str">
        <x:v>S021</x:v>
      </x:c>
      <x:c r="O16" s="10" t="str">
        <x:v>Única referência nesta ficha</x:v>
      </x:c>
      <x:c r="P16" s="10" t="str">
        <x:v>Manual, p.8-28; IRC. Link legado pode redirecionar ao portal Yamaha.</x:v>
      </x:c>
      <x:c r="Q16" s="10" t="str">
        <x:v>M023</x:v>
      </x:c>
    </x:row>
    <x:row r="17" ht="48" customHeight="1">
      <x:c r="A17" s="14" t="n">
        <x:v>13</x:v>
      </x:c>
      <x:c r="B17" s="12" t="str">
        <x:v>140/60-13</x:v>
      </x:c>
      <x:c r="C17" s="9" t="str">
        <x:v>Traseiro</x:v>
      </x:c>
      <x:c r="D17" s="9" t="str">
        <x:v>Dafra / SYM</x:v>
      </x:c>
      <x:c r="E17" s="9" t="str">
        <x:v>Cruisym 300</x:v>
      </x:c>
      <x:c r="F17" s="9" t="str">
        <x:v>2027</x:v>
      </x:c>
      <x:c r="G17" s="14" t="n">
        <x:v>140</x:v>
      </x:c>
      <x:c r="H17" s="14" t="n">
        <x:v>60</x:v>
      </x:c>
      <x:c r="I17" s="16"/>
      <x:c r="J17" s="9" t="str">
        <x:v>Hífen na fonte; verificar SKU</x:v>
      </x:c>
      <x:c r="K17" s="9" t="str">
        <x:v>63P</x:v>
      </x:c>
      <x:c r="L17" s="9" t="str">
        <x:v>ND</x:v>
      </x:c>
      <x:c r="M17" s="9" t="str">
        <x:v>Medida confirmada na fonte</x:v>
      </x:c>
      <x:c r="N17" s="9" t="str">
        <x:v>S064</x:v>
      </x:c>
      <x:c r="O17" s="9" t="str">
        <x:v>Única referência nesta ficha</x:v>
      </x:c>
      <x:c r="P17" s="9" t="str"/>
      <x:c r="Q17" s="9" t="str">
        <x:v>M069</x:v>
      </x:c>
    </x:row>
    <x:row r="18" ht="48" customHeight="1">
      <x:c r="A18" s="15" t="n">
        <x:v>13</x:v>
      </x:c>
      <x:c r="B18" s="13" t="str">
        <x:v>150/70-13</x:v>
      </x:c>
      <x:c r="C18" s="10" t="str">
        <x:v>Traseiro</x:v>
      </x:c>
      <x:c r="D18" s="10" t="str">
        <x:v>Kymco</x:v>
      </x:c>
      <x:c r="E18" s="10" t="str">
        <x:v>Downtown 350i</x:v>
      </x:c>
      <x:c r="F18" s="10" t="str">
        <x:v>Não delimitado na fonte</x:v>
      </x:c>
      <x:c r="G18" s="15" t="n">
        <x:v>150</x:v>
      </x:c>
      <x:c r="H18" s="15" t="n">
        <x:v>70</x:v>
      </x:c>
      <x:c r="I18" s="17"/>
      <x:c r="J18" s="10" t="str">
        <x:v>Hífen na fonte; verificar SKU</x:v>
      </x:c>
      <x:c r="K18" s="10" t="str">
        <x:v>(64S)</x:v>
      </x:c>
      <x:c r="L18" s="10" t="str">
        <x:v>ND</x:v>
      </x:c>
      <x:c r="M18" s="10" t="str">
        <x:v>Medida confirmada na fonte</x:v>
      </x:c>
      <x:c r="N18" s="10" t="str">
        <x:v>S070</x:v>
      </x:c>
      <x:c r="O18" s="10" t="str">
        <x:v>Única referência nesta ficha</x:v>
      </x:c>
      <x:c r="P18" s="10" t="str">
        <x:v>Índices com parênteses conforme ficha. Confirmar marcação completa no manual.</x:v>
      </x:c>
      <x:c r="Q18" s="10" t="str">
        <x:v>M075</x:v>
      </x:c>
    </x:row>
    <x:row r="19" ht="48" customHeight="1">
      <x:c r="A19" s="14" t="n">
        <x:v>13</x:v>
      </x:c>
      <x:c r="B19" s="12" t="str">
        <x:v>150/70-13</x:v>
      </x:c>
      <x:c r="C19" s="9" t="str">
        <x:v>Traseiro</x:v>
      </x:c>
      <x:c r="D19" s="9" t="str">
        <x:v>Suzuki</x:v>
      </x:c>
      <x:c r="E19" s="9" t="str">
        <x:v>Burgman 400</x:v>
      </x:c>
      <x:c r="F19" s="9" t="str">
        <x:v>2007</x:v>
      </x:c>
      <x:c r="G19" s="14" t="n">
        <x:v>150</x:v>
      </x:c>
      <x:c r="H19" s="14" t="n">
        <x:v>70</x:v>
      </x:c>
      <x:c r="I19" s="16"/>
      <x:c r="J19" s="9" t="str">
        <x:v>Hífen na fonte; verificar SKU</x:v>
      </x:c>
      <x:c r="K19" s="9" t="str">
        <x:v>64S</x:v>
      </x:c>
      <x:c r="L19" s="9" t="str">
        <x:v>Sem câmara</x:v>
      </x:c>
      <x:c r="M19" s="11" t="str">
        <x:v>Reposição — confirmar manual</x:v>
      </x:c>
      <x:c r="N19" s="11" t="str">
        <x:v>S031</x:v>
      </x:c>
      <x:c r="O19" s="9" t="str">
        <x:v>Única referência nesta ficha</x:v>
      </x:c>
      <x:c r="P19" s="9" t="str">
        <x:v>Seletor Michelin. Índices são da referência de reposição, não mínimos OEM certificados. Geração dianteira aro 14.</x:v>
      </x:c>
      <x:c r="Q19" s="9" t="str">
        <x:v>M033</x:v>
      </x:c>
    </x:row>
    <x:row r="20" ht="48" customHeight="1">
      <x:c r="A20" s="15" t="n">
        <x:v>13</x:v>
      </x:c>
      <x:c r="B20" s="13" t="str">
        <x:v>150/70-13</x:v>
      </x:c>
      <x:c r="C20" s="10" t="str">
        <x:v>Traseiro</x:v>
      </x:c>
      <x:c r="D20" s="10" t="str">
        <x:v>Suzuki</x:v>
      </x:c>
      <x:c r="E20" s="10" t="str">
        <x:v>Burgman 400</x:v>
      </x:c>
      <x:c r="F20" s="10" t="str">
        <x:v>2025 — EUA</x:v>
      </x:c>
      <x:c r="G20" s="15" t="n">
        <x:v>150</x:v>
      </x:c>
      <x:c r="H20" s="15" t="n">
        <x:v>70</x:v>
      </x:c>
      <x:c r="I20" s="17"/>
      <x:c r="J20" s="10" t="str">
        <x:v>Hífen na fonte; verificar SKU</x:v>
      </x:c>
      <x:c r="K20" s="10" t="str">
        <x:v>(64S)</x:v>
      </x:c>
      <x:c r="L20" s="10" t="str">
        <x:v>Sem câmara</x:v>
      </x:c>
      <x:c r="M20" s="11" t="str">
        <x:v>Referência internacional</x:v>
      </x:c>
      <x:c r="N20" s="11" t="str">
        <x:v>S032</x:v>
      </x:c>
      <x:c r="O20" s="10" t="str">
        <x:v>Única referência nesta ficha</x:v>
      </x:c>
      <x:c r="P20" s="10" t="str">
        <x:v>Ficha norte-americana. Nova geração com dianteiro aro 15; confirmar aplicação brasileira.</x:v>
      </x:c>
      <x:c r="Q20" s="10" t="str">
        <x:v>M034</x:v>
      </x:c>
    </x:row>
    <x:row r="21" ht="48" customHeight="1">
      <x:c r="A21" s="14" t="n">
        <x:v>14</x:v>
      </x:c>
      <x:c r="B21" s="12" t="str">
        <x:v>80/100-14</x:v>
      </x:c>
      <x:c r="C21" s="9" t="str">
        <x:v>Traseiro</x:v>
      </x:c>
      <x:c r="D21" s="9" t="str">
        <x:v>Honda</x:v>
      </x:c>
      <x:c r="E21" s="9" t="str">
        <x:v>Biz 125 ES</x:v>
      </x:c>
      <x:c r="F21" s="9" t="str">
        <x:v>2025</x:v>
      </x:c>
      <x:c r="G21" s="14" t="n">
        <x:v>80</x:v>
      </x:c>
      <x:c r="H21" s="14" t="n">
        <x:v>100</x:v>
      </x:c>
      <x:c r="I21" s="16"/>
      <x:c r="J21" s="9" t="str">
        <x:v>Hífen na fonte; verificar SKU</x:v>
      </x:c>
      <x:c r="K21" s="9" t="str">
        <x:v>ND</x:v>
      </x:c>
      <x:c r="L21" s="9" t="str">
        <x:v>Com câmara</x:v>
      </x:c>
      <x:c r="M21" s="9" t="str">
        <x:v>Medida confirmada na fonte</x:v>
      </x:c>
      <x:c r="N21" s="9" t="str">
        <x:v>S010</x:v>
      </x:c>
      <x:c r="O21" s="9" t="str">
        <x:v>Única referência nesta ficha</x:v>
      </x:c>
      <x:c r="P21" s="9" t="str"/>
      <x:c r="Q21" s="9" t="str">
        <x:v>M011</x:v>
      </x:c>
    </x:row>
    <x:row r="22" ht="48" customHeight="1">
      <x:c r="A22" s="15" t="n">
        <x:v>14</x:v>
      </x:c>
      <x:c r="B22" s="13" t="str">
        <x:v>80/100-14</x:v>
      </x:c>
      <x:c r="C22" s="10" t="str">
        <x:v>Traseiro</x:v>
      </x:c>
      <x:c r="D22" s="10" t="str">
        <x:v>Honda</x:v>
      </x:c>
      <x:c r="E22" s="10" t="str">
        <x:v>Biz 125 EX</x:v>
      </x:c>
      <x:c r="F22" s="10" t="str">
        <x:v>2025</x:v>
      </x:c>
      <x:c r="G22" s="15" t="n">
        <x:v>80</x:v>
      </x:c>
      <x:c r="H22" s="15" t="n">
        <x:v>100</x:v>
      </x:c>
      <x:c r="I22" s="17"/>
      <x:c r="J22" s="10" t="str">
        <x:v>Hífen na fonte; verificar SKU</x:v>
      </x:c>
      <x:c r="K22" s="10" t="str">
        <x:v>ND</x:v>
      </x:c>
      <x:c r="L22" s="10" t="str">
        <x:v>Sem câmara</x:v>
      </x:c>
      <x:c r="M22" s="10" t="str">
        <x:v>Medida confirmada na fonte</x:v>
      </x:c>
      <x:c r="N22" s="10" t="str">
        <x:v>S010</x:v>
      </x:c>
      <x:c r="O22" s="10" t="str">
        <x:v>Única referência nesta ficha</x:v>
      </x:c>
      <x:c r="P22" s="10" t="str">
        <x:v>Dianteiro diferente da ES: não unificar as versões.</x:v>
      </x:c>
      <x:c r="Q22" s="10" t="str">
        <x:v>M012</x:v>
      </x:c>
    </x:row>
    <x:row r="23" ht="48" customHeight="1">
      <x:c r="A23" s="14" t="n">
        <x:v>14</x:v>
      </x:c>
      <x:c r="B23" s="12" t="str">
        <x:v>80/100-14</x:v>
      </x:c>
      <x:c r="C23" s="9" t="str">
        <x:v>Traseiro</x:v>
      </x:c>
      <x:c r="D23" s="9" t="str">
        <x:v>Honda</x:v>
      </x:c>
      <x:c r="E23" s="9" t="str">
        <x:v>Pop 110i ES</x:v>
      </x:c>
      <x:c r="F23" s="9" t="str">
        <x:v>2025</x:v>
      </x:c>
      <x:c r="G23" s="14" t="n">
        <x:v>80</x:v>
      </x:c>
      <x:c r="H23" s="14" t="n">
        <x:v>100</x:v>
      </x:c>
      <x:c r="I23" s="16"/>
      <x:c r="J23" s="9" t="str">
        <x:v>Hífen na fonte; verificar SKU</x:v>
      </x:c>
      <x:c r="K23" s="9" t="str">
        <x:v>ND</x:v>
      </x:c>
      <x:c r="L23" s="9" t="str">
        <x:v>ND</x:v>
      </x:c>
      <x:c r="M23" s="9" t="str">
        <x:v>Medida confirmada na fonte</x:v>
      </x:c>
      <x:c r="N23" s="9" t="str">
        <x:v>S011</x:v>
      </x:c>
      <x:c r="O23" s="9" t="str">
        <x:v>Única referência nesta ficha</x:v>
      </x:c>
      <x:c r="P23" s="9" t="str"/>
      <x:c r="Q23" s="9" t="str">
        <x:v>M013</x:v>
      </x:c>
    </x:row>
    <x:row r="24" ht="48" customHeight="1">
      <x:c r="A24" s="15" t="n">
        <x:v>14</x:v>
      </x:c>
      <x:c r="B24" s="13" t="str">
        <x:v>80/100-14</x:v>
      </x:c>
      <x:c r="C24" s="10" t="str">
        <x:v>Traseiro</x:v>
      </x:c>
      <x:c r="D24" s="10" t="str">
        <x:v>Honda</x:v>
      </x:c>
      <x:c r="E24" s="10" t="str">
        <x:v>Pop 110i ES</x:v>
      </x:c>
      <x:c r="F24" s="10" t="str">
        <x:v>2027</x:v>
      </x:c>
      <x:c r="G24" s="15" t="n">
        <x:v>80</x:v>
      </x:c>
      <x:c r="H24" s="15" t="n">
        <x:v>100</x:v>
      </x:c>
      <x:c r="I24" s="17"/>
      <x:c r="J24" s="10" t="str">
        <x:v>Hífen na fonte; verificar SKU</x:v>
      </x:c>
      <x:c r="K24" s="10" t="str">
        <x:v>ND</x:v>
      </x:c>
      <x:c r="L24" s="10" t="str">
        <x:v>Sem câmara</x:v>
      </x:c>
      <x:c r="M24" s="10" t="str">
        <x:v>Medida confirmada na fonte</x:v>
      </x:c>
      <x:c r="N24" s="10" t="str">
        <x:v>S012</x:v>
      </x:c>
      <x:c r="O24" s="10" t="str">
        <x:v>Única referência nesta ficha</x:v>
      </x:c>
      <x:c r="P24" s="10" t="str">
        <x:v>Modelo 2027 lançado em 2026. Não aplicar retroativamente à Pop 2025.</x:v>
      </x:c>
      <x:c r="Q24" s="10" t="str">
        <x:v>M014</x:v>
      </x:c>
    </x:row>
    <x:row r="25" ht="48" customHeight="1">
      <x:c r="A25" s="14" t="n">
        <x:v>14</x:v>
      </x:c>
      <x:c r="B25" s="12" t="str">
        <x:v>90/90-14</x:v>
      </x:c>
      <x:c r="C25" s="9" t="str">
        <x:v>Dianteiro</x:v>
      </x:c>
      <x:c r="D25" s="9" t="str">
        <x:v>Dafra / SYM</x:v>
      </x:c>
      <x:c r="E25" s="9" t="str">
        <x:v>Cruisym 150</x:v>
      </x:c>
      <x:c r="F25" s="9" t="str">
        <x:v>Não delimitado na fonte</x:v>
      </x:c>
      <x:c r="G25" s="14" t="n">
        <x:v>90</x:v>
      </x:c>
      <x:c r="H25" s="14" t="n">
        <x:v>90</x:v>
      </x:c>
      <x:c r="I25" s="16"/>
      <x:c r="J25" s="9" t="str">
        <x:v>Hífen na fonte; verificar SKU</x:v>
      </x:c>
      <x:c r="K25" s="9" t="str">
        <x:v>52P</x:v>
      </x:c>
      <x:c r="L25" s="9" t="str">
        <x:v>ND</x:v>
      </x:c>
      <x:c r="M25" s="9" t="str">
        <x:v>Medida confirmada na fonte</x:v>
      </x:c>
      <x:c r="N25" s="9" t="str">
        <x:v>S065</x:v>
      </x:c>
      <x:c r="O25" s="9" t="str">
        <x:v>Única referência nesta ficha</x:v>
      </x:c>
      <x:c r="P25" s="9" t="str"/>
      <x:c r="Q25" s="9" t="str">
        <x:v>M070</x:v>
      </x:c>
    </x:row>
    <x:row r="26" ht="48" customHeight="1">
      <x:c r="A26" s="15" t="n">
        <x:v>14</x:v>
      </x:c>
      <x:c r="B26" s="13" t="str">
        <x:v>100/80-14</x:v>
      </x:c>
      <x:c r="C26" s="10" t="str">
        <x:v>Dianteiro</x:v>
      </x:c>
      <x:c r="D26" s="10" t="str">
        <x:v>Honda</x:v>
      </x:c>
      <x:c r="E26" s="10" t="str">
        <x:v>PCX 150 CBS / ABS / DLX / Sport</x:v>
      </x:c>
      <x:c r="F26" s="10" t="str">
        <x:v>2022</x:v>
      </x:c>
      <x:c r="G26" s="15" t="n">
        <x:v>100</x:v>
      </x:c>
      <x:c r="H26" s="15" t="n">
        <x:v>80</x:v>
      </x:c>
      <x:c r="I26" s="17"/>
      <x:c r="J26" s="10" t="str">
        <x:v>Hífen na fonte; verificar SKU</x:v>
      </x:c>
      <x:c r="K26" s="10" t="str">
        <x:v>ND</x:v>
      </x:c>
      <x:c r="L26" s="10" t="str">
        <x:v>ND</x:v>
      </x:c>
      <x:c r="M26" s="10" t="str">
        <x:v>Medida confirmada na fonte</x:v>
      </x:c>
      <x:c r="N26" s="10" t="str">
        <x:v>S013</x:v>
      </x:c>
      <x:c r="O26" s="10" t="str">
        <x:v>Única referência nesta ficha</x:v>
      </x:c>
      <x:c r="P26" s="10" t="str"/>
      <x:c r="Q26" s="10" t="str">
        <x:v>M015</x:v>
      </x:c>
    </x:row>
    <x:row r="27" ht="48" customHeight="1">
      <x:c r="A27" s="14" t="n">
        <x:v>14</x:v>
      </x:c>
      <x:c r="B27" s="12" t="str">
        <x:v>100/90-14</x:v>
      </x:c>
      <x:c r="C27" s="9" t="str">
        <x:v>Traseiro</x:v>
      </x:c>
      <x:c r="D27" s="9" t="str">
        <x:v>Dafra / SYM</x:v>
      </x:c>
      <x:c r="E27" s="9" t="str">
        <x:v>Cruisym 150</x:v>
      </x:c>
      <x:c r="F27" s="9" t="str">
        <x:v>Não delimitado na fonte</x:v>
      </x:c>
      <x:c r="G27" s="14" t="n">
        <x:v>100</x:v>
      </x:c>
      <x:c r="H27" s="14" t="n">
        <x:v>90</x:v>
      </x:c>
      <x:c r="I27" s="16"/>
      <x:c r="J27" s="9" t="str">
        <x:v>Hífen na fonte; verificar SKU</x:v>
      </x:c>
      <x:c r="K27" s="9" t="str">
        <x:v>61P</x:v>
      </x:c>
      <x:c r="L27" s="9" t="str">
        <x:v>ND</x:v>
      </x:c>
      <x:c r="M27" s="9" t="str">
        <x:v>Medida confirmada na fonte</x:v>
      </x:c>
      <x:c r="N27" s="9" t="str">
        <x:v>S065</x:v>
      </x:c>
      <x:c r="O27" s="9" t="str">
        <x:v>Única referência nesta ficha</x:v>
      </x:c>
      <x:c r="P27" s="9" t="str"/>
      <x:c r="Q27" s="9" t="str">
        <x:v>M070</x:v>
      </x:c>
    </x:row>
    <x:row r="28" ht="48" customHeight="1">
      <x:c r="A28" s="15" t="n">
        <x:v>14</x:v>
      </x:c>
      <x:c r="B28" s="13" t="str">
        <x:v>110/70-14</x:v>
      </x:c>
      <x:c r="C28" s="10" t="str">
        <x:v>Dianteiro</x:v>
      </x:c>
      <x:c r="D28" s="10" t="str">
        <x:v>Honda</x:v>
      </x:c>
      <x:c r="E28" s="10" t="str">
        <x:v>PCX 160</x:v>
      </x:c>
      <x:c r="F28" s="10" t="str">
        <x:v>2023</x:v>
      </x:c>
      <x:c r="G28" s="15" t="n">
        <x:v>110</x:v>
      </x:c>
      <x:c r="H28" s="15" t="n">
        <x:v>70</x:v>
      </x:c>
      <x:c r="I28" s="17"/>
      <x:c r="J28" s="10" t="str">
        <x:v>Hífen na fonte; verificar SKU</x:v>
      </x:c>
      <x:c r="K28" s="10" t="str">
        <x:v>ND</x:v>
      </x:c>
      <x:c r="L28" s="10" t="str">
        <x:v>ND</x:v>
      </x:c>
      <x:c r="M28" s="10" t="str">
        <x:v>Medida confirmada na fonte</x:v>
      </x:c>
      <x:c r="N28" s="10" t="str">
        <x:v>S014</x:v>
      </x:c>
      <x:c r="O28" s="10" t="str">
        <x:v>Única referência nesta ficha</x:v>
      </x:c>
      <x:c r="P28" s="10" t="str"/>
      <x:c r="Q28" s="10" t="str">
        <x:v>M016</x:v>
      </x:c>
    </x:row>
    <x:row r="29" ht="48" customHeight="1">
      <x:c r="A29" s="14" t="n">
        <x:v>14</x:v>
      </x:c>
      <x:c r="B29" s="12" t="str">
        <x:v>110/80-14</x:v>
      </x:c>
      <x:c r="C29" s="9" t="str">
        <x:v>Dianteiro</x:v>
      </x:c>
      <x:c r="D29" s="9" t="str">
        <x:v>Honda</x:v>
      </x:c>
      <x:c r="E29" s="9" t="str">
        <x:v>ADV 160</x:v>
      </x:c>
      <x:c r="F29" s="9" t="str">
        <x:v>2025</x:v>
      </x:c>
      <x:c r="G29" s="14" t="n">
        <x:v>110</x:v>
      </x:c>
      <x:c r="H29" s="14" t="n">
        <x:v>80</x:v>
      </x:c>
      <x:c r="I29" s="16"/>
      <x:c r="J29" s="9" t="str">
        <x:v>Hífen na fonte; verificar SKU</x:v>
      </x:c>
      <x:c r="K29" s="9" t="str">
        <x:v>ND</x:v>
      </x:c>
      <x:c r="L29" s="9" t="str">
        <x:v>Sem câmara</x:v>
      </x:c>
      <x:c r="M29" s="9" t="str">
        <x:v>Medida confirmada na fonte</x:v>
      </x:c>
      <x:c r="N29" s="9" t="str">
        <x:v>S015</x:v>
      </x:c>
      <x:c r="O29" s="9" t="str">
        <x:v>Única referência nesta ficha</x:v>
      </x:c>
      <x:c r="P29" s="9" t="str"/>
      <x:c r="Q29" s="9" t="str">
        <x:v>M017</x:v>
      </x:c>
    </x:row>
    <x:row r="30" ht="48" customHeight="1">
      <x:c r="A30" s="15" t="n">
        <x:v>14</x:v>
      </x:c>
      <x:c r="B30" s="13" t="str">
        <x:v>110/80-14</x:v>
      </x:c>
      <x:c r="C30" s="10" t="str">
        <x:v>Dianteiro</x:v>
      </x:c>
      <x:c r="D30" s="10" t="str">
        <x:v>Yamaha</x:v>
      </x:c>
      <x:c r="E30" s="10" t="str">
        <x:v>Aerox ABS Connected</x:v>
      </x:c>
      <x:c r="F30" s="10" t="str">
        <x:v>2026</x:v>
      </x:c>
      <x:c r="G30" s="15" t="n">
        <x:v>110</x:v>
      </x:c>
      <x:c r="H30" s="15" t="n">
        <x:v>80</x:v>
      </x:c>
      <x:c r="I30" s="17"/>
      <x:c r="J30" s="10" t="str">
        <x:v>Hífen na fonte; verificar SKU</x:v>
      </x:c>
      <x:c r="K30" s="10" t="str">
        <x:v>ND</x:v>
      </x:c>
      <x:c r="L30" s="10" t="str">
        <x:v>ND</x:v>
      </x:c>
      <x:c r="M30" s="10" t="str">
        <x:v>Medida confirmada na fonte</x:v>
      </x:c>
      <x:c r="N30" s="10" t="str">
        <x:v>S025</x:v>
      </x:c>
      <x:c r="O30" s="10" t="str">
        <x:v>Única referência nesta ficha</x:v>
      </x:c>
      <x:c r="P30" s="10" t="str"/>
      <x:c r="Q30" s="10" t="str">
        <x:v>M027</x:v>
      </x:c>
    </x:row>
    <x:row r="31" ht="48" customHeight="1">
      <x:c r="A31" s="14" t="n">
        <x:v>14</x:v>
      </x:c>
      <x:c r="B31" s="12" t="str">
        <x:v>120/70-14</x:v>
      </x:c>
      <x:c r="C31" s="9" t="str">
        <x:v>Dianteiro</x:v>
      </x:c>
      <x:c r="D31" s="9" t="str">
        <x:v>Dafra / SYM</x:v>
      </x:c>
      <x:c r="E31" s="9" t="str">
        <x:v>Cruisym 300</x:v>
      </x:c>
      <x:c r="F31" s="9" t="str">
        <x:v>2027</x:v>
      </x:c>
      <x:c r="G31" s="14" t="n">
        <x:v>120</x:v>
      </x:c>
      <x:c r="H31" s="14" t="n">
        <x:v>70</x:v>
      </x:c>
      <x:c r="I31" s="16"/>
      <x:c r="J31" s="9" t="str">
        <x:v>Hífen na fonte; verificar SKU</x:v>
      </x:c>
      <x:c r="K31" s="9" t="str">
        <x:v>55P</x:v>
      </x:c>
      <x:c r="L31" s="9" t="str">
        <x:v>ND</x:v>
      </x:c>
      <x:c r="M31" s="9" t="str">
        <x:v>Medida confirmada na fonte</x:v>
      </x:c>
      <x:c r="N31" s="9" t="str">
        <x:v>S064</x:v>
      </x:c>
      <x:c r="O31" s="9" t="str">
        <x:v>Única referência nesta ficha</x:v>
      </x:c>
      <x:c r="P31" s="9" t="str"/>
      <x:c r="Q31" s="9" t="str">
        <x:v>M069</x:v>
      </x:c>
    </x:row>
    <x:row r="32" ht="48" customHeight="1">
      <x:c r="A32" s="15" t="n">
        <x:v>14</x:v>
      </x:c>
      <x:c r="B32" s="13" t="str">
        <x:v>120/70-14</x:v>
      </x:c>
      <x:c r="C32" s="10" t="str">
        <x:v>Traseiro</x:v>
      </x:c>
      <x:c r="D32" s="10" t="str">
        <x:v>Honda</x:v>
      </x:c>
      <x:c r="E32" s="10" t="str">
        <x:v>PCX 150 CBS / ABS / DLX / Sport</x:v>
      </x:c>
      <x:c r="F32" s="10" t="str">
        <x:v>2022</x:v>
      </x:c>
      <x:c r="G32" s="15" t="n">
        <x:v>120</x:v>
      </x:c>
      <x:c r="H32" s="15" t="n">
        <x:v>70</x:v>
      </x:c>
      <x:c r="I32" s="17"/>
      <x:c r="J32" s="10" t="str">
        <x:v>Hífen na fonte; verificar SKU</x:v>
      </x:c>
      <x:c r="K32" s="10" t="str">
        <x:v>ND</x:v>
      </x:c>
      <x:c r="L32" s="10" t="str">
        <x:v>ND</x:v>
      </x:c>
      <x:c r="M32" s="10" t="str">
        <x:v>Medida confirmada na fonte</x:v>
      </x:c>
      <x:c r="N32" s="10" t="str">
        <x:v>S013</x:v>
      </x:c>
      <x:c r="O32" s="10" t="str">
        <x:v>Única referência nesta ficha</x:v>
      </x:c>
      <x:c r="P32" s="10" t="str"/>
      <x:c r="Q32" s="10" t="str">
        <x:v>M015</x:v>
      </x:c>
    </x:row>
    <x:row r="33" ht="48" customHeight="1">
      <x:c r="A33" s="14" t="n">
        <x:v>14</x:v>
      </x:c>
      <x:c r="B33" s="12" t="str">
        <x:v>120/80-14</x:v>
      </x:c>
      <x:c r="C33" s="9" t="str">
        <x:v>Dianteiro</x:v>
      </x:c>
      <x:c r="D33" s="9" t="str">
        <x:v>Kymco</x:v>
      </x:c>
      <x:c r="E33" s="9" t="str">
        <x:v>Downtown 350i</x:v>
      </x:c>
      <x:c r="F33" s="9" t="str">
        <x:v>Não delimitado na fonte</x:v>
      </x:c>
      <x:c r="G33" s="14" t="n">
        <x:v>120</x:v>
      </x:c>
      <x:c r="H33" s="14" t="n">
        <x:v>80</x:v>
      </x:c>
      <x:c r="I33" s="16"/>
      <x:c r="J33" s="9" t="str">
        <x:v>Hífen na fonte; verificar SKU</x:v>
      </x:c>
      <x:c r="K33" s="9" t="str">
        <x:v>(58S)</x:v>
      </x:c>
      <x:c r="L33" s="9" t="str">
        <x:v>ND</x:v>
      </x:c>
      <x:c r="M33" s="9" t="str">
        <x:v>Medida confirmada na fonte</x:v>
      </x:c>
      <x:c r="N33" s="9" t="str">
        <x:v>S070</x:v>
      </x:c>
      <x:c r="O33" s="9" t="str">
        <x:v>Única referência nesta ficha</x:v>
      </x:c>
      <x:c r="P33" s="9" t="str">
        <x:v>Índices com parênteses conforme ficha. Confirmar marcação completa no manual.</x:v>
      </x:c>
      <x:c r="Q33" s="9" t="str">
        <x:v>M075</x:v>
      </x:c>
    </x:row>
    <x:row r="34" ht="48" customHeight="1">
      <x:c r="A34" s="15" t="n">
        <x:v>14</x:v>
      </x:c>
      <x:c r="B34" s="13" t="str">
        <x:v>120/80-14</x:v>
      </x:c>
      <x:c r="C34" s="10" t="str">
        <x:v>Dianteiro</x:v>
      </x:c>
      <x:c r="D34" s="10" t="str">
        <x:v>Suzuki</x:v>
      </x:c>
      <x:c r="E34" s="10" t="str">
        <x:v>Burgman 400</x:v>
      </x:c>
      <x:c r="F34" s="10" t="str">
        <x:v>2007</x:v>
      </x:c>
      <x:c r="G34" s="15" t="n">
        <x:v>120</x:v>
      </x:c>
      <x:c r="H34" s="15" t="n">
        <x:v>80</x:v>
      </x:c>
      <x:c r="I34" s="17"/>
      <x:c r="J34" s="10" t="str">
        <x:v>Hífen na fonte; verificar SKU</x:v>
      </x:c>
      <x:c r="K34" s="10" t="str">
        <x:v>58S</x:v>
      </x:c>
      <x:c r="L34" s="10" t="str">
        <x:v>Sem câmara</x:v>
      </x:c>
      <x:c r="M34" s="11" t="str">
        <x:v>Reposição — confirmar manual</x:v>
      </x:c>
      <x:c r="N34" s="11" t="str">
        <x:v>S031</x:v>
      </x:c>
      <x:c r="O34" s="10" t="str">
        <x:v>Única referência nesta ficha</x:v>
      </x:c>
      <x:c r="P34" s="10" t="str">
        <x:v>Seletor Michelin. Índices são da referência de reposição, não mínimos OEM certificados. Geração dianteira aro 14.</x:v>
      </x:c>
      <x:c r="Q34" s="10" t="str">
        <x:v>M033</x:v>
      </x:c>
    </x:row>
    <x:row r="35" ht="48" customHeight="1">
      <x:c r="A35" s="14" t="n">
        <x:v>14</x:v>
      </x:c>
      <x:c r="B35" s="12" t="str">
        <x:v>140/70-14</x:v>
      </x:c>
      <x:c r="C35" s="9" t="str">
        <x:v>Traseiro</x:v>
      </x:c>
      <x:c r="D35" s="9" t="str">
        <x:v>Dafra / SYM</x:v>
      </x:c>
      <x:c r="E35" s="9" t="str">
        <x:v>Joyride 300</x:v>
      </x:c>
      <x:c r="F35" s="9" t="str">
        <x:v>2025</x:v>
      </x:c>
      <x:c r="G35" s="14" t="n">
        <x:v>140</x:v>
      </x:c>
      <x:c r="H35" s="14" t="n">
        <x:v>70</x:v>
      </x:c>
      <x:c r="I35" s="16"/>
      <x:c r="J35" s="9" t="str">
        <x:v>Hífen na fonte; verificar SKU</x:v>
      </x:c>
      <x:c r="K35" s="9" t="str">
        <x:v>ND</x:v>
      </x:c>
      <x:c r="L35" s="9" t="str">
        <x:v>ND</x:v>
      </x:c>
      <x:c r="M35" s="9" t="str">
        <x:v>Medida confirmada na fonte</x:v>
      </x:c>
      <x:c r="N35" s="9" t="str">
        <x:v>S062</x:v>
      </x:c>
      <x:c r="O35" s="9" t="str">
        <x:v>Única referência nesta ficha</x:v>
      </x:c>
      <x:c r="P35" s="9" t="str"/>
      <x:c r="Q35" s="9" t="str">
        <x:v>M067</x:v>
      </x:c>
    </x:row>
    <x:row r="36" ht="48" customHeight="1">
      <x:c r="A36" s="15" t="n">
        <x:v>14</x:v>
      </x:c>
      <x:c r="B36" s="13" t="str">
        <x:v>140/70-14</x:v>
      </x:c>
      <x:c r="C36" s="10" t="str">
        <x:v>Traseiro</x:v>
      </x:c>
      <x:c r="D36" s="10" t="str">
        <x:v>Dafra / SYM</x:v>
      </x:c>
      <x:c r="E36" s="10" t="str">
        <x:v>Joyride 300</x:v>
      </x:c>
      <x:c r="F36" s="10" t="str">
        <x:v>2027</x:v>
      </x:c>
      <x:c r="G36" s="15" t="n">
        <x:v>140</x:v>
      </x:c>
      <x:c r="H36" s="15" t="n">
        <x:v>70</x:v>
      </x:c>
      <x:c r="I36" s="17"/>
      <x:c r="J36" s="10" t="str">
        <x:v>Hífen na fonte; verificar SKU</x:v>
      </x:c>
      <x:c r="K36" s="10" t="str">
        <x:v>ND</x:v>
      </x:c>
      <x:c r="L36" s="10" t="str">
        <x:v>ND</x:v>
      </x:c>
      <x:c r="M36" s="10" t="str">
        <x:v>Medida confirmada na fonte</x:v>
      </x:c>
      <x:c r="N36" s="10" t="str">
        <x:v>S063</x:v>
      </x:c>
      <x:c r="O36" s="10" t="str">
        <x:v>Única referência nesta ficha</x:v>
      </x:c>
      <x:c r="P36" s="10" t="str">
        <x:v>Mesmo par da ficha 2025; isso não comprova automaticamente o ano intermediário.</x:v>
      </x:c>
      <x:c r="Q36" s="10" t="str">
        <x:v>M068</x:v>
      </x:c>
    </x:row>
    <x:row r="37" ht="48" customHeight="1">
      <x:c r="A37" s="14" t="n">
        <x:v>14</x:v>
      </x:c>
      <x:c r="B37" s="12" t="str">
        <x:v>140/70-14</x:v>
      </x:c>
      <x:c r="C37" s="9" t="str">
        <x:v>Traseiro</x:v>
      </x:c>
      <x:c r="D37" s="9" t="str">
        <x:v>Yamaha</x:v>
      </x:c>
      <x:c r="E37" s="9" t="str">
        <x:v>Aerox ABS Connected</x:v>
      </x:c>
      <x:c r="F37" s="9" t="str">
        <x:v>2026</x:v>
      </x:c>
      <x:c r="G37" s="14" t="n">
        <x:v>140</x:v>
      </x:c>
      <x:c r="H37" s="14" t="n">
        <x:v>70</x:v>
      </x:c>
      <x:c r="I37" s="16"/>
      <x:c r="J37" s="9" t="str">
        <x:v>Hífen na fonte; verificar SKU</x:v>
      </x:c>
      <x:c r="K37" s="9" t="str">
        <x:v>ND</x:v>
      </x:c>
      <x:c r="L37" s="9" t="str">
        <x:v>ND</x:v>
      </x:c>
      <x:c r="M37" s="9" t="str">
        <x:v>Medida confirmada na fonte</x:v>
      </x:c>
      <x:c r="N37" s="9" t="str">
        <x:v>S025</x:v>
      </x:c>
      <x:c r="O37" s="9" t="str">
        <x:v>Única referência nesta ficha</x:v>
      </x:c>
      <x:c r="P37" s="9" t="str"/>
      <x:c r="Q37" s="9" t="str">
        <x:v>M027</x:v>
      </x:c>
    </x:row>
    <x:row r="38" ht="48" customHeight="1">
      <x:c r="A38" s="15" t="n">
        <x:v>14</x:v>
      </x:c>
      <x:c r="B38" s="13" t="str">
        <x:v>140/70-14</x:v>
      </x:c>
      <x:c r="C38" s="10" t="str">
        <x:v>Traseiro</x:v>
      </x:c>
      <x:c r="D38" s="10" t="str">
        <x:v>Yamaha</x:v>
      </x:c>
      <x:c r="E38" s="10" t="str">
        <x:v>XMAX 300 Connected</x:v>
      </x:c>
      <x:c r="F38" s="10" t="str">
        <x:v>2026</x:v>
      </x:c>
      <x:c r="G38" s="15" t="n">
        <x:v>140</x:v>
      </x:c>
      <x:c r="H38" s="15" t="n">
        <x:v>70</x:v>
      </x:c>
      <x:c r="I38" s="17"/>
      <x:c r="J38" s="10" t="str">
        <x:v>Hífen na fonte; verificar SKU</x:v>
      </x:c>
      <x:c r="K38" s="10" t="str">
        <x:v>62P</x:v>
      </x:c>
      <x:c r="L38" s="10" t="str">
        <x:v>ND</x:v>
      </x:c>
      <x:c r="M38" s="10" t="str">
        <x:v>Medida confirmada na fonte</x:v>
      </x:c>
      <x:c r="N38" s="10" t="str">
        <x:v>S027</x:v>
      </x:c>
      <x:c r="O38" s="10" t="str">
        <x:v>Única referência nesta ficha</x:v>
      </x:c>
      <x:c r="P38" s="10" t="str">
        <x:v>Ficha estruturada do produto NOVA XMAX 300 CONNECTED, referência BPX200010C-26; Dunlop.</x:v>
      </x:c>
      <x:c r="Q38" s="10" t="str">
        <x:v>M029</x:v>
      </x:c>
    </x:row>
    <x:row r="39" ht="48" customHeight="1">
      <x:c r="A39" s="14" t="n">
        <x:v>14</x:v>
      </x:c>
      <x:c r="B39" s="12" t="str">
        <x:v>140/70-14</x:v>
      </x:c>
      <x:c r="C39" s="9" t="str">
        <x:v>Traseiro</x:v>
      </x:c>
      <x:c r="D39" s="9" t="str">
        <x:v>Yamaha</x:v>
      </x:c>
      <x:c r="E39" s="9" t="str">
        <x:v>XMAX 250</x:v>
      </x:c>
      <x:c r="F39" s="9" t="str">
        <x:v>2021 — Japão</x:v>
      </x:c>
      <x:c r="G39" s="14" t="n">
        <x:v>140</x:v>
      </x:c>
      <x:c r="H39" s="14" t="n">
        <x:v>70</x:v>
      </x:c>
      <x:c r="I39" s="16"/>
      <x:c r="J39" s="9" t="str">
        <x:v>Hífen na fonte; verificar SKU</x:v>
      </x:c>
      <x:c r="K39" s="9" t="str">
        <x:v>62P</x:v>
      </x:c>
      <x:c r="L39" s="9" t="str">
        <x:v>Sem câmara</x:v>
      </x:c>
      <x:c r="M39" s="11" t="str">
        <x:v>Referência internacional</x:v>
      </x:c>
      <x:c r="N39" s="11" t="str">
        <x:v>S028</x:v>
      </x:c>
      <x:c r="O39" s="9" t="str">
        <x:v>Única referência nesta ficha</x:v>
      </x:c>
      <x:c r="P39" s="9" t="str">
        <x:v>Referência japonesa. Confirmar o manual e ano do exemplar brasileiro; não tratar como faixa brasileira inteira.</x:v>
      </x:c>
      <x:c r="Q39" s="9" t="str">
        <x:v>M030</x:v>
      </x:c>
    </x:row>
    <x:row r="40" ht="48" customHeight="1">
      <x:c r="A40" s="15" t="n">
        <x:v>14</x:v>
      </x:c>
      <x:c r="B40" s="13" t="str">
        <x:v>150/70-14</x:v>
      </x:c>
      <x:c r="C40" s="10" t="str">
        <x:v>Traseiro</x:v>
      </x:c>
      <x:c r="D40" s="10" t="str">
        <x:v>Dafra / SYM</x:v>
      </x:c>
      <x:c r="E40" s="10" t="str">
        <x:v>Maxsym 400i</x:v>
      </x:c>
      <x:c r="F40" s="10" t="str">
        <x:v>Não delimitado na fonte</x:v>
      </x:c>
      <x:c r="G40" s="15" t="n">
        <x:v>150</x:v>
      </x:c>
      <x:c r="H40" s="15" t="n">
        <x:v>70</x:v>
      </x:c>
      <x:c r="I40" s="17"/>
      <x:c r="J40" s="10" t="str">
        <x:v>Hífen na fonte; verificar SKU</x:v>
      </x:c>
      <x:c r="K40" s="10" t="str">
        <x:v>66S</x:v>
      </x:c>
      <x:c r="L40" s="10" t="str">
        <x:v>Sem câmara</x:v>
      </x:c>
      <x:c r="M40" s="10" t="str">
        <x:v>Medida confirmada na fonte</x:v>
      </x:c>
      <x:c r="N40" s="10" t="str">
        <x:v>S058</x:v>
      </x:c>
      <x:c r="O40" s="10" t="str">
        <x:v>Única referência nesta ficha</x:v>
      </x:c>
      <x:c r="P40" s="10" t="str">
        <x:v>PDF p.17. Não confundir com divergência da página comercial Maxsym GT 2026.</x:v>
      </x:c>
      <x:c r="Q40" s="10" t="str">
        <x:v>M064</x:v>
      </x:c>
    </x:row>
    <x:row r="41" ht="48" customHeight="1">
      <x:c r="A41" s="14" t="n">
        <x:v>14</x:v>
      </x:c>
      <x:c r="B41" s="12" t="str">
        <x:v>150/70-14</x:v>
      </x:c>
      <x:c r="C41" s="9" t="str">
        <x:v>Traseiro</x:v>
      </x:c>
      <x:c r="D41" s="9" t="str">
        <x:v>Dafra / SYM</x:v>
      </x:c>
      <x:c r="E41" s="9" t="str">
        <x:v>Maxsym 400 GT</x:v>
      </x:c>
      <x:c r="F41" s="9" t="str">
        <x:v>2027</x:v>
      </x:c>
      <x:c r="G41" s="14" t="n">
        <x:v>150</x:v>
      </x:c>
      <x:c r="H41" s="14" t="n">
        <x:v>70</x:v>
      </x:c>
      <x:c r="I41" s="16"/>
      <x:c r="J41" s="9" t="str">
        <x:v>Hífen na fonte; verificar SKU</x:v>
      </x:c>
      <x:c r="K41" s="9" t="str">
        <x:v>ND</x:v>
      </x:c>
      <x:c r="L41" s="9" t="str">
        <x:v>ND</x:v>
      </x:c>
      <x:c r="M41" s="9" t="str">
        <x:v>Medida confirmada na fonte</x:v>
      </x:c>
      <x:c r="N41" s="9" t="str">
        <x:v>S059</x:v>
      </x:c>
      <x:c r="O41" s="9" t="str">
        <x:v>Única referência nesta ficha</x:v>
      </x:c>
      <x:c r="P41" s="9" t="str">
        <x:v>Ficha 2027 coincide nas medidas com manual GT. Não estender automaticamente a 2026.</x:v>
      </x:c>
      <x:c r="Q41" s="9" t="str">
        <x:v>M065</x:v>
      </x:c>
    </x:row>
    <x:row r="42" ht="48" customHeight="1">
      <x:c r="A42" s="15" t="n">
        <x:v>14</x:v>
      </x:c>
      <x:c r="B42" s="13" t="str">
        <x:v>160/60R14</x:v>
      </x:c>
      <x:c r="C42" s="10" t="str">
        <x:v>Traseiro</x:v>
      </x:c>
      <x:c r="D42" s="10" t="str">
        <x:v>Suzuki</x:v>
      </x:c>
      <x:c r="E42" s="10" t="str">
        <x:v>Burgman 650 EX</x:v>
      </x:c>
      <x:c r="F42" s="10" t="str">
        <x:v>Não delimitado na fonte</x:v>
      </x:c>
      <x:c r="G42" s="15" t="n">
        <x:v>160</x:v>
      </x:c>
      <x:c r="H42" s="15" t="n">
        <x:v>60</x:v>
      </x:c>
      <x:c r="I42" s="17"/>
      <x:c r="J42" s="10" t="str">
        <x:v>Radial (R)</x:v>
      </x:c>
      <x:c r="K42" s="10" t="str">
        <x:v>65H</x:v>
      </x:c>
      <x:c r="L42" s="10" t="str">
        <x:v>Sem câmara</x:v>
      </x:c>
      <x:c r="M42" s="10" t="str">
        <x:v>Medida confirmada na fonte</x:v>
      </x:c>
      <x:c r="N42" s="10" t="str">
        <x:v>S033</x:v>
      </x:c>
      <x:c r="O42" s="10" t="str">
        <x:v>Única referência nesta ficha</x:v>
      </x:c>
      <x:c r="P42" s="10" t="str">
        <x:v>PDF p.31 e p.37; Bridgestone TH01F / TH01RM. R indica construção radial, inclusive nos aros 15 e 14.</x:v>
      </x:c>
      <x:c r="Q42" s="10" t="str">
        <x:v>M035</x:v>
      </x:c>
    </x:row>
    <x:row r="43" ht="48" customHeight="1">
      <x:c r="A43" s="14" t="n">
        <x:v>15</x:v>
      </x:c>
      <x:c r="B43" s="12" t="str">
        <x:v>120/70-15</x:v>
      </x:c>
      <x:c r="C43" s="9" t="str">
        <x:v>Dianteiro</x:v>
      </x:c>
      <x:c r="D43" s="9" t="str">
        <x:v>Dafra / SYM</x:v>
      </x:c>
      <x:c r="E43" s="9" t="str">
        <x:v>Maxsym 400i</x:v>
      </x:c>
      <x:c r="F43" s="9" t="str">
        <x:v>Não delimitado na fonte</x:v>
      </x:c>
      <x:c r="G43" s="14" t="n">
        <x:v>120</x:v>
      </x:c>
      <x:c r="H43" s="14" t="n">
        <x:v>70</x:v>
      </x:c>
      <x:c r="I43" s="16"/>
      <x:c r="J43" s="9" t="str">
        <x:v>Hífen na fonte; verificar SKU</x:v>
      </x:c>
      <x:c r="K43" s="9" t="str">
        <x:v>56S</x:v>
      </x:c>
      <x:c r="L43" s="9" t="str">
        <x:v>Sem câmara</x:v>
      </x:c>
      <x:c r="M43" s="9" t="str">
        <x:v>Medida confirmada na fonte</x:v>
      </x:c>
      <x:c r="N43" s="9" t="str">
        <x:v>S058</x:v>
      </x:c>
      <x:c r="O43" s="9" t="str">
        <x:v>Única referência nesta ficha</x:v>
      </x:c>
      <x:c r="P43" s="9" t="str">
        <x:v>PDF p.17. Não confundir com divergência da página comercial Maxsym GT 2026.</x:v>
      </x:c>
      <x:c r="Q43" s="9" t="str">
        <x:v>M064</x:v>
      </x:c>
    </x:row>
    <x:row r="44" ht="48" customHeight="1">
      <x:c r="A44" s="15" t="n">
        <x:v>15</x:v>
      </x:c>
      <x:c r="B44" s="13" t="str">
        <x:v>120/70-15</x:v>
      </x:c>
      <x:c r="C44" s="10" t="str">
        <x:v>Dianteiro</x:v>
      </x:c>
      <x:c r="D44" s="10" t="str">
        <x:v>Dafra / SYM</x:v>
      </x:c>
      <x:c r="E44" s="10" t="str">
        <x:v>Maxsym 400 GT</x:v>
      </x:c>
      <x:c r="F44" s="10" t="str">
        <x:v>2027</x:v>
      </x:c>
      <x:c r="G44" s="15" t="n">
        <x:v>120</x:v>
      </x:c>
      <x:c r="H44" s="15" t="n">
        <x:v>70</x:v>
      </x:c>
      <x:c r="I44" s="17"/>
      <x:c r="J44" s="10" t="str">
        <x:v>Hífen na fonte; verificar SKU</x:v>
      </x:c>
      <x:c r="K44" s="10" t="str">
        <x:v>ND</x:v>
      </x:c>
      <x:c r="L44" s="10" t="str">
        <x:v>ND</x:v>
      </x:c>
      <x:c r="M44" s="10" t="str">
        <x:v>Medida confirmada na fonte</x:v>
      </x:c>
      <x:c r="N44" s="10" t="str">
        <x:v>S059</x:v>
      </x:c>
      <x:c r="O44" s="10" t="str">
        <x:v>Única referência nesta ficha</x:v>
      </x:c>
      <x:c r="P44" s="10" t="str">
        <x:v>Ficha 2027 coincide nas medidas com manual GT. Não estender automaticamente a 2026.</x:v>
      </x:c>
      <x:c r="Q44" s="10" t="str">
        <x:v>M065</x:v>
      </x:c>
    </x:row>
    <x:row r="45" ht="48" customHeight="1">
      <x:c r="A45" s="14" t="n">
        <x:v>15</x:v>
      </x:c>
      <x:c r="B45" s="12" t="str">
        <x:v>120/70-15</x:v>
      </x:c>
      <x:c r="C45" s="9" t="str">
        <x:v>Dianteiro</x:v>
      </x:c>
      <x:c r="D45" s="9" t="str">
        <x:v>Dafra / SYM</x:v>
      </x:c>
      <x:c r="E45" s="9" t="str">
        <x:v>Maxsym 400 GT</x:v>
      </x:c>
      <x:c r="F45" s="9" t="str">
        <x:v>2026 — página comercial</x:v>
      </x:c>
      <x:c r="G45" s="14" t="n">
        <x:v>120</x:v>
      </x:c>
      <x:c r="H45" s="14" t="n">
        <x:v>70</x:v>
      </x:c>
      <x:c r="I45" s="16"/>
      <x:c r="J45" s="9" t="str">
        <x:v>Hífen na fonte; verificar SKU</x:v>
      </x:c>
      <x:c r="K45" s="9" t="str">
        <x:v>ND</x:v>
      </x:c>
      <x:c r="L45" s="9" t="str">
        <x:v>ND</x:v>
      </x:c>
      <x:c r="M45" s="11" t="str">
        <x:v>BLOQUEADO — conflito de fontes</x:v>
      </x:c>
      <x:c r="N45" s="11" t="str">
        <x:v>S060 / S061</x:v>
      </x:c>
      <x:c r="O45" s="9" t="str">
        <x:v>Única referência nesta ficha</x:v>
      </x:c>
      <x:c r="P45" s="9" t="str">
        <x:v>Página comercial 2026 diverge do manual GT e da ficha 2027. Necessária confirmação por versão/ano antes de importar.</x:v>
      </x:c>
      <x:c r="Q45" s="9" t="str">
        <x:v>M066</x:v>
      </x:c>
    </x:row>
    <x:row r="46" ht="48" customHeight="1">
      <x:c r="A46" s="15" t="n">
        <x:v>15</x:v>
      </x:c>
      <x:c r="B46" s="13" t="str">
        <x:v>120/70-15</x:v>
      </x:c>
      <x:c r="C46" s="10" t="str">
        <x:v>Dianteiro</x:v>
      </x:c>
      <x:c r="D46" s="10" t="str">
        <x:v>Dafra / SYM</x:v>
      </x:c>
      <x:c r="E46" s="10" t="str">
        <x:v>Joyride 300</x:v>
      </x:c>
      <x:c r="F46" s="10" t="str">
        <x:v>2025</x:v>
      </x:c>
      <x:c r="G46" s="15" t="n">
        <x:v>120</x:v>
      </x:c>
      <x:c r="H46" s="15" t="n">
        <x:v>70</x:v>
      </x:c>
      <x:c r="I46" s="17"/>
      <x:c r="J46" s="10" t="str">
        <x:v>Hífen na fonte; verificar SKU</x:v>
      </x:c>
      <x:c r="K46" s="10" t="str">
        <x:v>ND</x:v>
      </x:c>
      <x:c r="L46" s="10" t="str">
        <x:v>ND</x:v>
      </x:c>
      <x:c r="M46" s="10" t="str">
        <x:v>Medida confirmada na fonte</x:v>
      </x:c>
      <x:c r="N46" s="10" t="str">
        <x:v>S062</x:v>
      </x:c>
      <x:c r="O46" s="10" t="str">
        <x:v>Única referência nesta ficha</x:v>
      </x:c>
      <x:c r="P46" s="10" t="str"/>
      <x:c r="Q46" s="10" t="str">
        <x:v>M067</x:v>
      </x:c>
    </x:row>
    <x:row r="47" ht="48" customHeight="1">
      <x:c r="A47" s="14" t="n">
        <x:v>15</x:v>
      </x:c>
      <x:c r="B47" s="12" t="str">
        <x:v>120/70-15</x:v>
      </x:c>
      <x:c r="C47" s="9" t="str">
        <x:v>Dianteiro</x:v>
      </x:c>
      <x:c r="D47" s="9" t="str">
        <x:v>Dafra / SYM</x:v>
      </x:c>
      <x:c r="E47" s="9" t="str">
        <x:v>Joyride 300</x:v>
      </x:c>
      <x:c r="F47" s="9" t="str">
        <x:v>2027</x:v>
      </x:c>
      <x:c r="G47" s="14" t="n">
        <x:v>120</x:v>
      </x:c>
      <x:c r="H47" s="14" t="n">
        <x:v>70</x:v>
      </x:c>
      <x:c r="I47" s="16"/>
      <x:c r="J47" s="9" t="str">
        <x:v>Hífen na fonte; verificar SKU</x:v>
      </x:c>
      <x:c r="K47" s="9" t="str">
        <x:v>ND</x:v>
      </x:c>
      <x:c r="L47" s="9" t="str">
        <x:v>ND</x:v>
      </x:c>
      <x:c r="M47" s="9" t="str">
        <x:v>Medida confirmada na fonte</x:v>
      </x:c>
      <x:c r="N47" s="9" t="str">
        <x:v>S063</x:v>
      </x:c>
      <x:c r="O47" s="9" t="str">
        <x:v>Única referência nesta ficha</x:v>
      </x:c>
      <x:c r="P47" s="9" t="str">
        <x:v>Mesmo par da ficha 2025; isso não comprova automaticamente o ano intermediário.</x:v>
      </x:c>
      <x:c r="Q47" s="9" t="str">
        <x:v>M068</x:v>
      </x:c>
    </x:row>
    <x:row r="48" ht="48" customHeight="1">
      <x:c r="A48" s="15" t="n">
        <x:v>15</x:v>
      </x:c>
      <x:c r="B48" s="13" t="str">
        <x:v>120/70-15</x:v>
      </x:c>
      <x:c r="C48" s="10" t="str">
        <x:v>Dianteiro</x:v>
      </x:c>
      <x:c r="D48" s="10" t="str">
        <x:v>Suzuki</x:v>
      </x:c>
      <x:c r="E48" s="10" t="str">
        <x:v>Burgman 400</x:v>
      </x:c>
      <x:c r="F48" s="10" t="str">
        <x:v>2025 — EUA</x:v>
      </x:c>
      <x:c r="G48" s="15" t="n">
        <x:v>120</x:v>
      </x:c>
      <x:c r="H48" s="15" t="n">
        <x:v>70</x:v>
      </x:c>
      <x:c r="I48" s="17"/>
      <x:c r="J48" s="10" t="str">
        <x:v>Hífen na fonte; verificar SKU</x:v>
      </x:c>
      <x:c r="K48" s="10" t="str">
        <x:v>(56S)</x:v>
      </x:c>
      <x:c r="L48" s="10" t="str">
        <x:v>Sem câmara</x:v>
      </x:c>
      <x:c r="M48" s="11" t="str">
        <x:v>Referência internacional</x:v>
      </x:c>
      <x:c r="N48" s="11" t="str">
        <x:v>S032</x:v>
      </x:c>
      <x:c r="O48" s="10" t="str">
        <x:v>Única referência nesta ficha</x:v>
      </x:c>
      <x:c r="P48" s="10" t="str">
        <x:v>Ficha norte-americana. Nova geração com dianteiro aro 15; confirmar aplicação brasileira.</x:v>
      </x:c>
      <x:c r="Q48" s="10" t="str">
        <x:v>M034</x:v>
      </x:c>
    </x:row>
    <x:row r="49" ht="48" customHeight="1">
      <x:c r="A49" s="14" t="n">
        <x:v>15</x:v>
      </x:c>
      <x:c r="B49" s="12" t="str">
        <x:v>120/70-15</x:v>
      </x:c>
      <x:c r="C49" s="9" t="str">
        <x:v>Dianteiro</x:v>
      </x:c>
      <x:c r="D49" s="9" t="str">
        <x:v>Yamaha</x:v>
      </x:c>
      <x:c r="E49" s="9" t="str">
        <x:v>XMAX 300 Connected</x:v>
      </x:c>
      <x:c r="F49" s="9" t="str">
        <x:v>2026</x:v>
      </x:c>
      <x:c r="G49" s="14" t="n">
        <x:v>120</x:v>
      </x:c>
      <x:c r="H49" s="14" t="n">
        <x:v>70</x:v>
      </x:c>
      <x:c r="I49" s="16"/>
      <x:c r="J49" s="9" t="str">
        <x:v>Hífen na fonte; verificar SKU</x:v>
      </x:c>
      <x:c r="K49" s="9" t="str">
        <x:v>56P</x:v>
      </x:c>
      <x:c r="L49" s="9" t="str">
        <x:v>ND</x:v>
      </x:c>
      <x:c r="M49" s="9" t="str">
        <x:v>Medida confirmada na fonte</x:v>
      </x:c>
      <x:c r="N49" s="9" t="str">
        <x:v>S027</x:v>
      </x:c>
      <x:c r="O49" s="9" t="str">
        <x:v>Única referência nesta ficha</x:v>
      </x:c>
      <x:c r="P49" s="9" t="str">
        <x:v>Ficha estruturada do produto NOVA XMAX 300 CONNECTED, referência BPX200010C-26; Dunlop.</x:v>
      </x:c>
      <x:c r="Q49" s="9" t="str">
        <x:v>M029</x:v>
      </x:c>
    </x:row>
    <x:row r="50" ht="48" customHeight="1">
      <x:c r="A50" s="15" t="n">
        <x:v>15</x:v>
      </x:c>
      <x:c r="B50" s="13" t="str">
        <x:v>120/70-15</x:v>
      </x:c>
      <x:c r="C50" s="10" t="str">
        <x:v>Dianteiro</x:v>
      </x:c>
      <x:c r="D50" s="10" t="str">
        <x:v>Yamaha</x:v>
      </x:c>
      <x:c r="E50" s="10" t="str">
        <x:v>XMAX 250</x:v>
      </x:c>
      <x:c r="F50" s="10" t="str">
        <x:v>2021 — Japão</x:v>
      </x:c>
      <x:c r="G50" s="15" t="n">
        <x:v>120</x:v>
      </x:c>
      <x:c r="H50" s="15" t="n">
        <x:v>70</x:v>
      </x:c>
      <x:c r="I50" s="17"/>
      <x:c r="J50" s="10" t="str">
        <x:v>Hífen na fonte; verificar SKU</x:v>
      </x:c>
      <x:c r="K50" s="10" t="str">
        <x:v>56P</x:v>
      </x:c>
      <x:c r="L50" s="10" t="str">
        <x:v>Sem câmara</x:v>
      </x:c>
      <x:c r="M50" s="11" t="str">
        <x:v>Referência internacional</x:v>
      </x:c>
      <x:c r="N50" s="11" t="str">
        <x:v>S028</x:v>
      </x:c>
      <x:c r="O50" s="10" t="str">
        <x:v>Única referência nesta ficha</x:v>
      </x:c>
      <x:c r="P50" s="10" t="str">
        <x:v>Referência japonesa. Confirmar o manual e ano do exemplar brasileiro; não tratar como faixa brasileira inteira.</x:v>
      </x:c>
      <x:c r="Q50" s="10" t="str">
        <x:v>M030</x:v>
      </x:c>
    </x:row>
    <x:row r="51" ht="48" customHeight="1">
      <x:c r="A51" s="14" t="n">
        <x:v>15</x:v>
      </x:c>
      <x:c r="B51" s="12" t="str">
        <x:v>120/70R15</x:v>
      </x:c>
      <x:c r="C51" s="9" t="str">
        <x:v>Dianteiro</x:v>
      </x:c>
      <x:c r="D51" s="9" t="str">
        <x:v>Suzuki</x:v>
      </x:c>
      <x:c r="E51" s="9" t="str">
        <x:v>Burgman 650 EX</x:v>
      </x:c>
      <x:c r="F51" s="9" t="str">
        <x:v>Não delimitado na fonte</x:v>
      </x:c>
      <x:c r="G51" s="14" t="n">
        <x:v>120</x:v>
      </x:c>
      <x:c r="H51" s="14" t="n">
        <x:v>70</x:v>
      </x:c>
      <x:c r="I51" s="16"/>
      <x:c r="J51" s="9" t="str">
        <x:v>Radial (R)</x:v>
      </x:c>
      <x:c r="K51" s="9" t="str">
        <x:v>56H</x:v>
      </x:c>
      <x:c r="L51" s="9" t="str">
        <x:v>Sem câmara</x:v>
      </x:c>
      <x:c r="M51" s="9" t="str">
        <x:v>Medida confirmada na fonte</x:v>
      </x:c>
      <x:c r="N51" s="9" t="str">
        <x:v>S033</x:v>
      </x:c>
      <x:c r="O51" s="9" t="str">
        <x:v>Única referência nesta ficha</x:v>
      </x:c>
      <x:c r="P51" s="9" t="str">
        <x:v>PDF p.31 e p.37; Bridgestone TH01F / TH01RM. R indica construção radial, inclusive nos aros 15 e 14.</x:v>
      </x:c>
      <x:c r="Q51" s="9" t="str">
        <x:v>M035</x:v>
      </x:c>
    </x:row>
    <x:row r="52" ht="48" customHeight="1">
      <x:c r="A52" s="15" t="n">
        <x:v>15</x:v>
      </x:c>
      <x:c r="B52" s="13" t="str">
        <x:v>170/80-15</x:v>
      </x:c>
      <x:c r="C52" s="10" t="str">
        <x:v>Traseiro</x:v>
      </x:c>
      <x:c r="D52" s="10" t="str">
        <x:v>Suzuki</x:v>
      </x:c>
      <x:c r="E52" s="10" t="str">
        <x:v>Boulevard M50 / Intruder M800</x:v>
      </x:c>
      <x:c r="F52" s="10" t="str">
        <x:v>2005 — arquivo global</x:v>
      </x:c>
      <x:c r="G52" s="15" t="n">
        <x:v>170</x:v>
      </x:c>
      <x:c r="H52" s="15" t="n">
        <x:v>80</x:v>
      </x:c>
      <x:c r="I52" s="17"/>
      <x:c r="J52" s="10" t="str">
        <x:v>Hífen na fonte; verificar SKU</x:v>
      </x:c>
      <x:c r="K52" s="10" t="str">
        <x:v>77H</x:v>
      </x:c>
      <x:c r="L52" s="10" t="str">
        <x:v>ND</x:v>
      </x:c>
      <x:c r="M52" s="11" t="str">
        <x:v>Referência internacional</x:v>
      </x:c>
      <x:c r="N52" s="11" t="str">
        <x:v>S034</x:v>
      </x:c>
      <x:c r="O52" s="10" t="str">
        <x:v>Única referência nesta ficha</x:v>
      </x:c>
      <x:c r="P52" s="10" t="str">
        <x:v>Arquivo histórico oficial. Necessário confirmar ano/versão do exemplar brasileiro.</x:v>
      </x:c>
      <x:c r="Q52" s="10" t="str">
        <x:v>M036</x:v>
      </x:c>
    </x:row>
    <x:row r="53" ht="48" customHeight="1">
      <x:c r="A53" s="14" t="n">
        <x:v>16</x:v>
      </x:c>
      <x:c r="B53" s="12" t="str">
        <x:v>3.50-16</x:v>
      </x:c>
      <x:c r="C53" s="9" t="str">
        <x:v>Traseiro</x:v>
      </x:c>
      <x:c r="D53" s="9" t="str">
        <x:v>Haojue</x:v>
      </x:c>
      <x:c r="E53" s="9" t="str">
        <x:v>Chopper Road 150</x:v>
      </x:c>
      <x:c r="F53" s="9" t="str">
        <x:v>Não delimitado na fonte</x:v>
      </x:c>
      <x:c r="G53" s="14"/>
      <x:c r="H53" s="14"/>
      <x:c r="I53" s="16" t="n">
        <x:v>3.5</x:v>
      </x:c>
      <x:c r="J53" s="9" t="str">
        <x:v>Polegadas; verificar SKU</x:v>
      </x:c>
      <x:c r="K53" s="9" t="str">
        <x:v>ND</x:v>
      </x:c>
      <x:c r="L53" s="9" t="str">
        <x:v>ND</x:v>
      </x:c>
      <x:c r="M53" s="9" t="str">
        <x:v>Medida confirmada na fonte</x:v>
      </x:c>
      <x:c r="N53" s="9" t="str">
        <x:v>S068</x:v>
      </x:c>
      <x:c r="O53" s="9" t="str">
        <x:v>Única referência nesta ficha</x:v>
      </x:c>
      <x:c r="P53" s="9" t="str"/>
      <x:c r="Q53" s="9" t="str">
        <x:v>M073</x:v>
      </x:c>
    </x:row>
    <x:row r="54" ht="48" customHeight="1">
      <x:c r="A54" s="15" t="n">
        <x:v>16</x:v>
      </x:c>
      <x:c r="B54" s="13" t="str">
        <x:v>100/80-16</x:v>
      </x:c>
      <x:c r="C54" s="10" t="str">
        <x:v>Dianteiro</x:v>
      </x:c>
      <x:c r="D54" s="10" t="str">
        <x:v>Honda</x:v>
      </x:c>
      <x:c r="E54" s="10" t="str">
        <x:v>SH 150i</x:v>
      </x:c>
      <x:c r="F54" s="10" t="str">
        <x:v>2018</x:v>
      </x:c>
      <x:c r="G54" s="15" t="n">
        <x:v>100</x:v>
      </x:c>
      <x:c r="H54" s="15" t="n">
        <x:v>80</x:v>
      </x:c>
      <x:c r="I54" s="17"/>
      <x:c r="J54" s="10" t="str">
        <x:v>Hífen na fonte; verificar SKU</x:v>
      </x:c>
      <x:c r="K54" s="10" t="str">
        <x:v>50P</x:v>
      </x:c>
      <x:c r="L54" s="10" t="str">
        <x:v>ND</x:v>
      </x:c>
      <x:c r="M54" s="10" t="str">
        <x:v>Medida confirmada na fonte</x:v>
      </x:c>
      <x:c r="N54" s="10" t="str">
        <x:v>S017</x:v>
      </x:c>
      <x:c r="O54" s="10" t="str">
        <x:v>Única referência nesta ficha</x:v>
      </x:c>
      <x:c r="P54" s="10" t="str">
        <x:v>PDF p.115; ambos os pneus aro 16.</x:v>
      </x:c>
      <x:c r="Q54" s="10" t="str">
        <x:v>M019</x:v>
      </x:c>
    </x:row>
    <x:row r="55" ht="48" customHeight="1">
      <x:c r="A55" s="14" t="n">
        <x:v>16</x:v>
      </x:c>
      <x:c r="B55" s="12" t="str">
        <x:v>110/70-16</x:v>
      </x:c>
      <x:c r="C55" s="9" t="str">
        <x:v>Dianteiro</x:v>
      </x:c>
      <x:c r="D55" s="9" t="str">
        <x:v>Dafra / SYM</x:v>
      </x:c>
      <x:c r="E55" s="9" t="str">
        <x:v>Citycom S 300i CBS</x:v>
      </x:c>
      <x:c r="F55" s="9" t="str">
        <x:v>Não delimitado na fonte</x:v>
      </x:c>
      <x:c r="G55" s="14" t="n">
        <x:v>110</x:v>
      </x:c>
      <x:c r="H55" s="14" t="n">
        <x:v>70</x:v>
      </x:c>
      <x:c r="I55" s="16"/>
      <x:c r="J55" s="9" t="str">
        <x:v>Hífen na fonte; verificar SKU</x:v>
      </x:c>
      <x:c r="K55" s="9" t="str">
        <x:v>52P</x:v>
      </x:c>
      <x:c r="L55" s="9" t="str">
        <x:v>ND</x:v>
      </x:c>
      <x:c r="M55" s="9" t="str">
        <x:v>Medida confirmada na fonte</x:v>
      </x:c>
      <x:c r="N55" s="9" t="str">
        <x:v>S056</x:v>
      </x:c>
      <x:c r="O55" s="9" t="str">
        <x:v>Única referência nesta ficha</x:v>
      </x:c>
      <x:c r="P55" s="9" t="str">
        <x:v>PDF p.17; ambos os pneus aro 16.</x:v>
      </x:c>
      <x:c r="Q55" s="9" t="str">
        <x:v>M062</x:v>
      </x:c>
    </x:row>
    <x:row r="56" ht="48" customHeight="1">
      <x:c r="A56" s="15" t="n">
        <x:v>16</x:v>
      </x:c>
      <x:c r="B56" s="13" t="str">
        <x:v>110/70-16</x:v>
      </x:c>
      <x:c r="C56" s="10" t="str">
        <x:v>Dianteiro</x:v>
      </x:c>
      <x:c r="D56" s="10" t="str">
        <x:v>Dafra / SYM</x:v>
      </x:c>
      <x:c r="E56" s="10" t="str">
        <x:v>Citycom HD 300</x:v>
      </x:c>
      <x:c r="F56" s="10" t="str">
        <x:v>Não delimitado na fonte</x:v>
      </x:c>
      <x:c r="G56" s="15" t="n">
        <x:v>110</x:v>
      </x:c>
      <x:c r="H56" s="15" t="n">
        <x:v>70</x:v>
      </x:c>
      <x:c r="I56" s="17"/>
      <x:c r="J56" s="10" t="str">
        <x:v>Hífen na fonte; verificar SKU</x:v>
      </x:c>
      <x:c r="K56" s="10" t="str">
        <x:v>52P</x:v>
      </x:c>
      <x:c r="L56" s="10" t="str">
        <x:v>ND</x:v>
      </x:c>
      <x:c r="M56" s="10" t="str">
        <x:v>Medida confirmada na fonte</x:v>
      </x:c>
      <x:c r="N56" s="10" t="str">
        <x:v>S057</x:v>
      </x:c>
      <x:c r="O56" s="10" t="str">
        <x:v>Única referência nesta ficha</x:v>
      </x:c>
      <x:c r="P56" s="10" t="str">
        <x:v>PDF p.21; aplicação separada da Citycom S.</x:v>
      </x:c>
      <x:c r="Q56" s="10" t="str">
        <x:v>M063</x:v>
      </x:c>
    </x:row>
    <x:row r="57" ht="48" customHeight="1">
      <x:c r="A57" s="14" t="n">
        <x:v>16</x:v>
      </x:c>
      <x:c r="B57" s="12" t="str">
        <x:v>120/80-16</x:v>
      </x:c>
      <x:c r="C57" s="9" t="str">
        <x:v>Traseiro</x:v>
      </x:c>
      <x:c r="D57" s="9" t="str">
        <x:v>Honda</x:v>
      </x:c>
      <x:c r="E57" s="9" t="str">
        <x:v>SH 150i</x:v>
      </x:c>
      <x:c r="F57" s="9" t="str">
        <x:v>2018</x:v>
      </x:c>
      <x:c r="G57" s="14" t="n">
        <x:v>120</x:v>
      </x:c>
      <x:c r="H57" s="14" t="n">
        <x:v>80</x:v>
      </x:c>
      <x:c r="I57" s="16"/>
      <x:c r="J57" s="9" t="str">
        <x:v>Hífen na fonte; verificar SKU</x:v>
      </x:c>
      <x:c r="K57" s="9" t="str">
        <x:v>60P</x:v>
      </x:c>
      <x:c r="L57" s="9" t="str">
        <x:v>ND</x:v>
      </x:c>
      <x:c r="M57" s="9" t="str">
        <x:v>Medida confirmada na fonte</x:v>
      </x:c>
      <x:c r="N57" s="9" t="str">
        <x:v>S017</x:v>
      </x:c>
      <x:c r="O57" s="9" t="str">
        <x:v>Única referência nesta ficha</x:v>
      </x:c>
      <x:c r="P57" s="9" t="str">
        <x:v>PDF p.115; ambos os pneus aro 16.</x:v>
      </x:c>
      <x:c r="Q57" s="9" t="str">
        <x:v>M019</x:v>
      </x:c>
    </x:row>
    <x:row r="58" ht="48" customHeight="1">
      <x:c r="A58" s="15" t="n">
        <x:v>16</x:v>
      </x:c>
      <x:c r="B58" s="13" t="str">
        <x:v>130/70-16</x:v>
      </x:c>
      <x:c r="C58" s="10" t="str">
        <x:v>Traseiro</x:v>
      </x:c>
      <x:c r="D58" s="10" t="str">
        <x:v>Dafra / SYM</x:v>
      </x:c>
      <x:c r="E58" s="10" t="str">
        <x:v>Citycom S 300i CBS</x:v>
      </x:c>
      <x:c r="F58" s="10" t="str">
        <x:v>Não delimitado na fonte</x:v>
      </x:c>
      <x:c r="G58" s="15" t="n">
        <x:v>130</x:v>
      </x:c>
      <x:c r="H58" s="15" t="n">
        <x:v>70</x:v>
      </x:c>
      <x:c r="I58" s="17"/>
      <x:c r="J58" s="10" t="str">
        <x:v>Hífen na fonte; verificar SKU</x:v>
      </x:c>
      <x:c r="K58" s="10" t="str">
        <x:v>61P</x:v>
      </x:c>
      <x:c r="L58" s="10" t="str">
        <x:v>ND</x:v>
      </x:c>
      <x:c r="M58" s="10" t="str">
        <x:v>Medida confirmada na fonte</x:v>
      </x:c>
      <x:c r="N58" s="10" t="str">
        <x:v>S056</x:v>
      </x:c>
      <x:c r="O58" s="10" t="str">
        <x:v>Única referência nesta ficha</x:v>
      </x:c>
      <x:c r="P58" s="10" t="str">
        <x:v>PDF p.17; ambos os pneus aro 16.</x:v>
      </x:c>
      <x:c r="Q58" s="10" t="str">
        <x:v>M062</x:v>
      </x:c>
    </x:row>
    <x:row r="59" ht="48" customHeight="1">
      <x:c r="A59" s="14" t="n">
        <x:v>16</x:v>
      </x:c>
      <x:c r="B59" s="12" t="str">
        <x:v>130/70-16</x:v>
      </x:c>
      <x:c r="C59" s="9" t="str">
        <x:v>Traseiro</x:v>
      </x:c>
      <x:c r="D59" s="9" t="str">
        <x:v>Dafra / SYM</x:v>
      </x:c>
      <x:c r="E59" s="9" t="str">
        <x:v>Citycom HD 300</x:v>
      </x:c>
      <x:c r="F59" s="9" t="str">
        <x:v>Não delimitado na fonte</x:v>
      </x:c>
      <x:c r="G59" s="14" t="n">
        <x:v>130</x:v>
      </x:c>
      <x:c r="H59" s="14" t="n">
        <x:v>70</x:v>
      </x:c>
      <x:c r="I59" s="16"/>
      <x:c r="J59" s="9" t="str">
        <x:v>Hífen na fonte; verificar SKU</x:v>
      </x:c>
      <x:c r="K59" s="9" t="str">
        <x:v>61P</x:v>
      </x:c>
      <x:c r="L59" s="9" t="str">
        <x:v>ND</x:v>
      </x:c>
      <x:c r="M59" s="9" t="str">
        <x:v>Medida confirmada na fonte</x:v>
      </x:c>
      <x:c r="N59" s="9" t="str">
        <x:v>S057</x:v>
      </x:c>
      <x:c r="O59" s="9" t="str">
        <x:v>Única referência nesta ficha</x:v>
      </x:c>
      <x:c r="P59" s="9" t="str">
        <x:v>PDF p.21; aplicação separada da Citycom S.</x:v>
      </x:c>
      <x:c r="Q59" s="9" t="str">
        <x:v>M063</x:v>
      </x:c>
    </x:row>
    <x:row r="60" ht="48" customHeight="1">
      <x:c r="A60" s="15" t="n">
        <x:v>16</x:v>
      </x:c>
      <x:c r="B60" s="13" t="str">
        <x:v>130/90-16</x:v>
      </x:c>
      <x:c r="C60" s="10" t="str">
        <x:v>Dianteiro</x:v>
      </x:c>
      <x:c r="D60" s="10" t="str">
        <x:v>Suzuki</x:v>
      </x:c>
      <x:c r="E60" s="10" t="str">
        <x:v>Boulevard M50 / Intruder M800</x:v>
      </x:c>
      <x:c r="F60" s="10" t="str">
        <x:v>2005 — arquivo global</x:v>
      </x:c>
      <x:c r="G60" s="15" t="n">
        <x:v>130</x:v>
      </x:c>
      <x:c r="H60" s="15" t="n">
        <x:v>90</x:v>
      </x:c>
      <x:c r="I60" s="17"/>
      <x:c r="J60" s="10" t="str">
        <x:v>Hífen na fonte; verificar SKU</x:v>
      </x:c>
      <x:c r="K60" s="10" t="str">
        <x:v>67H</x:v>
      </x:c>
      <x:c r="L60" s="10" t="str">
        <x:v>ND</x:v>
      </x:c>
      <x:c r="M60" s="11" t="str">
        <x:v>Referência internacional</x:v>
      </x:c>
      <x:c r="N60" s="11" t="str">
        <x:v>S034</x:v>
      </x:c>
      <x:c r="O60" s="10" t="str">
        <x:v>Única referência nesta ficha</x:v>
      </x:c>
      <x:c r="P60" s="10" t="str">
        <x:v>Arquivo histórico oficial. Necessário confirmar ano/versão do exemplar brasileiro.</x:v>
      </x:c>
      <x:c r="Q60" s="10" t="str">
        <x:v>M036</x:v>
      </x:c>
    </x:row>
    <x:row r="61" ht="48" customHeight="1">
      <x:c r="A61" s="14" t="n">
        <x:v>16</x:v>
      </x:c>
      <x:c r="B61" s="12" t="str">
        <x:v>150/80B16</x:v>
      </x:c>
      <x:c r="C61" s="9" t="str">
        <x:v>Traseiro</x:v>
      </x:c>
      <x:c r="D61" s="9" t="str">
        <x:v>Royal Enfield</x:v>
      </x:c>
      <x:c r="E61" s="9" t="str">
        <x:v>Super Meteor 650</x:v>
      </x:c>
      <x:c r="F61" s="9" t="str">
        <x:v>Não delimitado na fonte</x:v>
      </x:c>
      <x:c r="G61" s="14" t="n">
        <x:v>150</x:v>
      </x:c>
      <x:c r="H61" s="14" t="n">
        <x:v>80</x:v>
      </x:c>
      <x:c r="I61" s="16"/>
      <x:c r="J61" s="9" t="str">
        <x:v>Diagonal cintado (B)</x:v>
      </x:c>
      <x:c r="K61" s="9" t="str">
        <x:v>71H</x:v>
      </x:c>
      <x:c r="L61" s="9" t="str">
        <x:v>Sem câmara</x:v>
      </x:c>
      <x:c r="M61" s="9" t="str">
        <x:v>Medida confirmada na fonte</x:v>
      </x:c>
      <x:c r="N61" s="9" t="str">
        <x:v>S046</x:v>
      </x:c>
      <x:c r="O61" s="9" t="str">
        <x:v>Única referência nesta ficha</x:v>
      </x:c>
      <x:c r="P61" s="9" t="str">
        <x:v>Ficha em português ligada ao site brasileiro, p.2. Traseiro B16, diagonal cintado; não apagar a letra B.</x:v>
      </x:c>
      <x:c r="Q61" s="9" t="str">
        <x:v>M053</x:v>
      </x:c>
    </x:row>
    <x:row r="62" ht="48" customHeight="1">
      <x:c r="A62" s="15" t="n">
        <x:v>17</x:v>
      </x:c>
      <x:c r="B62" s="13" t="str">
        <x:v>2.75-17</x:v>
      </x:c>
      <x:c r="C62" s="10" t="str">
        <x:v>Dianteiro</x:v>
      </x:c>
      <x:c r="D62" s="10" t="str">
        <x:v>Mottu</x:v>
      </x:c>
      <x:c r="E62" s="10" t="str">
        <x:v>Sport ESD</x:v>
      </x:c>
      <x:c r="F62" s="10" t="str">
        <x:v>Não delimitado na fonte</x:v>
      </x:c>
      <x:c r="G62" s="15"/>
      <x:c r="H62" s="15"/>
      <x:c r="I62" s="17" t="n">
        <x:v>2.75</x:v>
      </x:c>
      <x:c r="J62" s="10" t="str">
        <x:v>Polegadas; verificar SKU</x:v>
      </x:c>
      <x:c r="K62" s="10" t="str">
        <x:v>ND</x:v>
      </x:c>
      <x:c r="L62" s="10" t="str">
        <x:v>Sem câmara</x:v>
      </x:c>
      <x:c r="M62" s="10" t="str">
        <x:v>Medida confirmada na fonte</x:v>
      </x:c>
      <x:c r="N62" s="10" t="str">
        <x:v>S043</x:v>
      </x:c>
      <x:c r="O62" s="10" t="str">
        <x:v>Única referência nesta ficha</x:v>
      </x:c>
      <x:c r="P62" s="10" t="str">
        <x:v>Manual p.50: duas medidas traseiras expressamente listadas. Não transformar isso em equivalência universal entre polegadas e sistema métrico.</x:v>
      </x:c>
      <x:c r="Q62" s="10" t="str">
        <x:v>M050</x:v>
      </x:c>
    </x:row>
    <x:row r="63" ht="48" customHeight="1">
      <x:c r="A63" s="14" t="n">
        <x:v>17</x:v>
      </x:c>
      <x:c r="B63" s="12" t="str">
        <x:v>3.00-17</x:v>
      </x:c>
      <x:c r="C63" s="9" t="str">
        <x:v>Traseiro</x:v>
      </x:c>
      <x:c r="D63" s="9" t="str">
        <x:v>Mottu</x:v>
      </x:c>
      <x:c r="E63" s="9" t="str">
        <x:v>Sport ESD</x:v>
      </x:c>
      <x:c r="F63" s="9" t="str">
        <x:v>Não delimitado na fonte</x:v>
      </x:c>
      <x:c r="G63" s="14"/>
      <x:c r="H63" s="14"/>
      <x:c r="I63" s="16" t="n">
        <x:v>3</x:v>
      </x:c>
      <x:c r="J63" s="9" t="str">
        <x:v>Polegadas; verificar SKU</x:v>
      </x:c>
      <x:c r="K63" s="9" t="str">
        <x:v>ND</x:v>
      </x:c>
      <x:c r="L63" s="9" t="str">
        <x:v>Sem câmara</x:v>
      </x:c>
      <x:c r="M63" s="9" t="str">
        <x:v>Medida confirmada na fonte</x:v>
      </x:c>
      <x:c r="N63" s="9" t="str">
        <x:v>S043</x:v>
      </x:c>
      <x:c r="O63" s="9" t="str">
        <x:v>Alternativa 1 expressa no manual</x:v>
      </x:c>
      <x:c r="P63" s="9" t="str">
        <x:v>Manual p.50: duas medidas traseiras expressamente listadas. Não transformar isso em equivalência universal entre polegadas e sistema métrico.</x:v>
      </x:c>
      <x:c r="Q63" s="9" t="str">
        <x:v>M050</x:v>
      </x:c>
    </x:row>
    <x:row r="64" ht="48" customHeight="1">
      <x:c r="A64" s="15" t="n">
        <x:v>17</x:v>
      </x:c>
      <x:c r="B64" s="13" t="str">
        <x:v>60/100-17</x:v>
      </x:c>
      <x:c r="C64" s="10" t="str">
        <x:v>Dianteiro</x:v>
      </x:c>
      <x:c r="D64" s="10" t="str">
        <x:v>Honda</x:v>
      </x:c>
      <x:c r="E64" s="10" t="str">
        <x:v>Biz 125 ES</x:v>
      </x:c>
      <x:c r="F64" s="10" t="str">
        <x:v>2025</x:v>
      </x:c>
      <x:c r="G64" s="15" t="n">
        <x:v>60</x:v>
      </x:c>
      <x:c r="H64" s="15" t="n">
        <x:v>100</x:v>
      </x:c>
      <x:c r="I64" s="17"/>
      <x:c r="J64" s="10" t="str">
        <x:v>Hífen na fonte; verificar SKU</x:v>
      </x:c>
      <x:c r="K64" s="10" t="str">
        <x:v>ND</x:v>
      </x:c>
      <x:c r="L64" s="10" t="str">
        <x:v>Com câmara</x:v>
      </x:c>
      <x:c r="M64" s="10" t="str">
        <x:v>Medida confirmada na fonte</x:v>
      </x:c>
      <x:c r="N64" s="10" t="str">
        <x:v>S010</x:v>
      </x:c>
      <x:c r="O64" s="10" t="str">
        <x:v>Única referência nesta ficha</x:v>
      </x:c>
      <x:c r="P64" s="10" t="str"/>
      <x:c r="Q64" s="10" t="str">
        <x:v>M011</x:v>
      </x:c>
    </x:row>
    <x:row r="65" ht="48" customHeight="1">
      <x:c r="A65" s="14" t="n">
        <x:v>17</x:v>
      </x:c>
      <x:c r="B65" s="12" t="str">
        <x:v>60/100-17</x:v>
      </x:c>
      <x:c r="C65" s="9" t="str">
        <x:v>Dianteiro</x:v>
      </x:c>
      <x:c r="D65" s="9" t="str">
        <x:v>Honda</x:v>
      </x:c>
      <x:c r="E65" s="9" t="str">
        <x:v>Pop 110i ES</x:v>
      </x:c>
      <x:c r="F65" s="9" t="str">
        <x:v>2025</x:v>
      </x:c>
      <x:c r="G65" s="14" t="n">
        <x:v>60</x:v>
      </x:c>
      <x:c r="H65" s="14" t="n">
        <x:v>100</x:v>
      </x:c>
      <x:c r="I65" s="16"/>
      <x:c r="J65" s="9" t="str">
        <x:v>Hífen na fonte; verificar SKU</x:v>
      </x:c>
      <x:c r="K65" s="9" t="str">
        <x:v>ND</x:v>
      </x:c>
      <x:c r="L65" s="9" t="str">
        <x:v>ND</x:v>
      </x:c>
      <x:c r="M65" s="9" t="str">
        <x:v>Medida confirmada na fonte</x:v>
      </x:c>
      <x:c r="N65" s="9" t="str">
        <x:v>S011</x:v>
      </x:c>
      <x:c r="O65" s="9" t="str">
        <x:v>Única referência nesta ficha</x:v>
      </x:c>
      <x:c r="P65" s="9" t="str"/>
      <x:c r="Q65" s="9" t="str">
        <x:v>M013</x:v>
      </x:c>
    </x:row>
    <x:row r="66" ht="48" customHeight="1">
      <x:c r="A66" s="15" t="n">
        <x:v>17</x:v>
      </x:c>
      <x:c r="B66" s="13" t="str">
        <x:v>70/90-17</x:v>
      </x:c>
      <x:c r="C66" s="10" t="str">
        <x:v>Dianteiro</x:v>
      </x:c>
      <x:c r="D66" s="10" t="str">
        <x:v>Honda</x:v>
      </x:c>
      <x:c r="E66" s="10" t="str">
        <x:v>Biz 125 EX</x:v>
      </x:c>
      <x:c r="F66" s="10" t="str">
        <x:v>2025</x:v>
      </x:c>
      <x:c r="G66" s="15" t="n">
        <x:v>70</x:v>
      </x:c>
      <x:c r="H66" s="15" t="n">
        <x:v>90</x:v>
      </x:c>
      <x:c r="I66" s="17"/>
      <x:c r="J66" s="10" t="str">
        <x:v>Hífen na fonte; verificar SKU</x:v>
      </x:c>
      <x:c r="K66" s="10" t="str">
        <x:v>ND</x:v>
      </x:c>
      <x:c r="L66" s="10" t="str">
        <x:v>Sem câmara</x:v>
      </x:c>
      <x:c r="M66" s="10" t="str">
        <x:v>Medida confirmada na fonte</x:v>
      </x:c>
      <x:c r="N66" s="10" t="str">
        <x:v>S010</x:v>
      </x:c>
      <x:c r="O66" s="10" t="str">
        <x:v>Única referência nesta ficha</x:v>
      </x:c>
      <x:c r="P66" s="10" t="str">
        <x:v>Dianteiro diferente da ES: não unificar as versões.</x:v>
      </x:c>
      <x:c r="Q66" s="10" t="str">
        <x:v>M012</x:v>
      </x:c>
    </x:row>
    <x:row r="67" ht="48" customHeight="1">
      <x:c r="A67" s="14" t="n">
        <x:v>17</x:v>
      </x:c>
      <x:c r="B67" s="12" t="str">
        <x:v>70/90-17</x:v>
      </x:c>
      <x:c r="C67" s="9" t="str">
        <x:v>Dianteiro</x:v>
      </x:c>
      <x:c r="D67" s="9" t="str">
        <x:v>Honda</x:v>
      </x:c>
      <x:c r="E67" s="9" t="str">
        <x:v>Pop 110i ES</x:v>
      </x:c>
      <x:c r="F67" s="9" t="str">
        <x:v>2027</x:v>
      </x:c>
      <x:c r="G67" s="14" t="n">
        <x:v>70</x:v>
      </x:c>
      <x:c r="H67" s="14" t="n">
        <x:v>90</x:v>
      </x:c>
      <x:c r="I67" s="16"/>
      <x:c r="J67" s="9" t="str">
        <x:v>Hífen na fonte; verificar SKU</x:v>
      </x:c>
      <x:c r="K67" s="9" t="str">
        <x:v>ND</x:v>
      </x:c>
      <x:c r="L67" s="9" t="str">
        <x:v>Sem câmara</x:v>
      </x:c>
      <x:c r="M67" s="9" t="str">
        <x:v>Medida confirmada na fonte</x:v>
      </x:c>
      <x:c r="N67" s="9" t="str">
        <x:v>S012</x:v>
      </x:c>
      <x:c r="O67" s="9" t="str">
        <x:v>Única referência nesta ficha</x:v>
      </x:c>
      <x:c r="P67" s="9" t="str">
        <x:v>Modelo 2027 lançado em 2026. Não aplicar retroativamente à Pop 2025.</x:v>
      </x:c>
      <x:c r="Q67" s="9" t="str">
        <x:v>M014</x:v>
      </x:c>
    </x:row>
    <x:row r="68" ht="48" customHeight="1">
      <x:c r="A68" s="15" t="n">
        <x:v>17</x:v>
      </x:c>
      <x:c r="B68" s="13" t="str">
        <x:v>90/90-17</x:v>
      </x:c>
      <x:c r="C68" s="10" t="str">
        <x:v>Dianteiro</x:v>
      </x:c>
      <x:c r="D68" s="10" t="str">
        <x:v>Bajaj</x:v>
      </x:c>
      <x:c r="E68" s="10" t="str">
        <x:v>Pulsar N150</x:v>
      </x:c>
      <x:c r="F68" s="10" t="str">
        <x:v>Produção anunciada em 30/04/2026</x:v>
      </x:c>
      <x:c r="G68" s="15" t="n">
        <x:v>90</x:v>
      </x:c>
      <x:c r="H68" s="15" t="n">
        <x:v>90</x:v>
      </x:c>
      <x:c r="I68" s="17"/>
      <x:c r="J68" s="10" t="str">
        <x:v>Hífen na fonte; verificar SKU</x:v>
      </x:c>
      <x:c r="K68" s="10" t="str">
        <x:v>49P</x:v>
      </x:c>
      <x:c r="L68" s="10" t="str">
        <x:v>Sem câmara</x:v>
      </x:c>
      <x:c r="M68" s="10" t="str">
        <x:v>Medida confirmada na fonte</x:v>
      </x:c>
      <x:c r="N68" s="10" t="str">
        <x:v>S042</x:v>
      </x:c>
      <x:c r="O68" s="10" t="str">
        <x:v>Única referência nesta ficha</x:v>
      </x:c>
      <x:c r="P68" s="10" t="str">
        <x:v>Pirelli Sport Demon. Comunicado não delimita todos os anos-modelo.</x:v>
      </x:c>
      <x:c r="Q68" s="10" t="str">
        <x:v>M044</x:v>
      </x:c>
    </x:row>
    <x:row r="69" ht="48" customHeight="1">
      <x:c r="A69" s="14" t="n">
        <x:v>17</x:v>
      </x:c>
      <x:c r="B69" s="12" t="str">
        <x:v>90/90-17</x:v>
      </x:c>
      <x:c r="C69" s="9" t="str">
        <x:v>Traseiro</x:v>
      </x:c>
      <x:c r="D69" s="9" t="str">
        <x:v>Mottu</x:v>
      </x:c>
      <x:c r="E69" s="9" t="str">
        <x:v>Sport ESD</x:v>
      </x:c>
      <x:c r="F69" s="9" t="str">
        <x:v>Não delimitado na fonte</x:v>
      </x:c>
      <x:c r="G69" s="14" t="n">
        <x:v>90</x:v>
      </x:c>
      <x:c r="H69" s="14" t="n">
        <x:v>90</x:v>
      </x:c>
      <x:c r="I69" s="16"/>
      <x:c r="J69" s="9" t="str">
        <x:v>Hífen na fonte; verificar SKU</x:v>
      </x:c>
      <x:c r="K69" s="9" t="str">
        <x:v>ND</x:v>
      </x:c>
      <x:c r="L69" s="9" t="str">
        <x:v>Sem câmara</x:v>
      </x:c>
      <x:c r="M69" s="9" t="str">
        <x:v>Medida confirmada na fonte</x:v>
      </x:c>
      <x:c r="N69" s="9" t="str">
        <x:v>S043</x:v>
      </x:c>
      <x:c r="O69" s="9" t="str">
        <x:v>Alternativa 2 expressa no manual</x:v>
      </x:c>
      <x:c r="P69" s="9" t="str">
        <x:v>Manual p.50: duas medidas traseiras expressamente listadas. Não transformar isso em equivalência universal entre polegadas e sistema métrico.</x:v>
      </x:c>
      <x:c r="Q69" s="9" t="str">
        <x:v>M050</x:v>
      </x:c>
    </x:row>
    <x:row r="70" ht="48" customHeight="1">
      <x:c r="A70" s="15" t="n">
        <x:v>17</x:v>
      </x:c>
      <x:c r="B70" s="13" t="str">
        <x:v>100/80-17</x:v>
      </x:c>
      <x:c r="C70" s="10" t="str">
        <x:v>Dianteiro</x:v>
      </x:c>
      <x:c r="D70" s="10" t="str">
        <x:v>Bajaj</x:v>
      </x:c>
      <x:c r="E70" s="10" t="str">
        <x:v>Dominar 160</x:v>
      </x:c>
      <x:c r="F70" s="10" t="str">
        <x:v>Produção anunciada em 30/04/2026</x:v>
      </x:c>
      <x:c r="G70" s="15" t="n">
        <x:v>100</x:v>
      </x:c>
      <x:c r="H70" s="15" t="n">
        <x:v>80</x:v>
      </x:c>
      <x:c r="I70" s="17"/>
      <x:c r="J70" s="10" t="str">
        <x:v>Hífen na fonte; verificar SKU</x:v>
      </x:c>
      <x:c r="K70" s="10" t="str">
        <x:v>52S</x:v>
      </x:c>
      <x:c r="L70" s="10" t="str">
        <x:v>Sem câmara</x:v>
      </x:c>
      <x:c r="M70" s="10" t="str">
        <x:v>Medida confirmada na fonte</x:v>
      </x:c>
      <x:c r="N70" s="10" t="str">
        <x:v>S042</x:v>
      </x:c>
      <x:c r="O70" s="10" t="str">
        <x:v>Única referência nesta ficha</x:v>
      </x:c>
      <x:c r="P70" s="10" t="str">
        <x:v>Pirelli Sport Demon. Não estender automaticamente a lotes anteriores.</x:v>
      </x:c>
      <x:c r="Q70" s="10" t="str">
        <x:v>M045</x:v>
      </x:c>
    </x:row>
    <x:row r="71" ht="48" customHeight="1">
      <x:c r="A71" s="14" t="n">
        <x:v>17</x:v>
      </x:c>
      <x:c r="B71" s="12" t="str">
        <x:v>100/80-17</x:v>
      </x:c>
      <x:c r="C71" s="9" t="str">
        <x:v>Dianteiro</x:v>
      </x:c>
      <x:c r="D71" s="9" t="str">
        <x:v>Bajaj</x:v>
      </x:c>
      <x:c r="E71" s="9" t="str">
        <x:v>Dominar 200</x:v>
      </x:c>
      <x:c r="F71" s="9" t="str">
        <x:v>Produção anunciada em 30/04/2026</x:v>
      </x:c>
      <x:c r="G71" s="14" t="n">
        <x:v>100</x:v>
      </x:c>
      <x:c r="H71" s="14" t="n">
        <x:v>80</x:v>
      </x:c>
      <x:c r="I71" s="16"/>
      <x:c r="J71" s="9" t="str">
        <x:v>Hífen na fonte; verificar SKU</x:v>
      </x:c>
      <x:c r="K71" s="9" t="str">
        <x:v>52S</x:v>
      </x:c>
      <x:c r="L71" s="9" t="str">
        <x:v>Sem câmara</x:v>
      </x:c>
      <x:c r="M71" s="9" t="str">
        <x:v>Medida confirmada na fonte</x:v>
      </x:c>
      <x:c r="N71" s="9" t="str">
        <x:v>S042</x:v>
      </x:c>
      <x:c r="O71" s="9" t="str">
        <x:v>Única referência nesta ficha</x:v>
      </x:c>
      <x:c r="P71" s="9" t="str">
        <x:v>Pirelli Sport Demon. Não estender automaticamente a lotes anteriores.</x:v>
      </x:c>
      <x:c r="Q71" s="9" t="str">
        <x:v>M046</x:v>
      </x:c>
    </x:row>
    <x:row r="72" ht="48" customHeight="1">
      <x:c r="A72" s="15" t="n">
        <x:v>17</x:v>
      </x:c>
      <x:c r="B72" s="13" t="str">
        <x:v>100/80-17</x:v>
      </x:c>
      <x:c r="C72" s="10" t="str">
        <x:v>Dianteiro</x:v>
      </x:c>
      <x:c r="D72" s="10" t="str">
        <x:v>Bajaj</x:v>
      </x:c>
      <x:c r="E72" s="10" t="str">
        <x:v>Dominar 250</x:v>
      </x:c>
      <x:c r="F72" s="10" t="str">
        <x:v>Produção anunciada em 30/04/2026</x:v>
      </x:c>
      <x:c r="G72" s="15" t="n">
        <x:v>100</x:v>
      </x:c>
      <x:c r="H72" s="15" t="n">
        <x:v>80</x:v>
      </x:c>
      <x:c r="I72" s="17"/>
      <x:c r="J72" s="10" t="str">
        <x:v>Hífen na fonte; verificar SKU</x:v>
      </x:c>
      <x:c r="K72" s="10" t="str">
        <x:v>52S</x:v>
      </x:c>
      <x:c r="L72" s="10" t="str">
        <x:v>Sem câmara</x:v>
      </x:c>
      <x:c r="M72" s="10" t="str">
        <x:v>Medida confirmada na fonte</x:v>
      </x:c>
      <x:c r="N72" s="10" t="str">
        <x:v>S042</x:v>
      </x:c>
      <x:c r="O72" s="10" t="str">
        <x:v>Única referência nesta ficha</x:v>
      </x:c>
      <x:c r="P72" s="10" t="str">
        <x:v>Pirelli Sport Demon. Não estender automaticamente a lotes anteriores.</x:v>
      </x:c>
      <x:c r="Q72" s="10" t="str">
        <x:v>M047</x:v>
      </x:c>
    </x:row>
    <x:row r="73" ht="48" customHeight="1">
      <x:c r="A73" s="14" t="n">
        <x:v>17</x:v>
      </x:c>
      <x:c r="B73" s="12" t="str">
        <x:v>100/80-17</x:v>
      </x:c>
      <x:c r="C73" s="9" t="str">
        <x:v>Dianteiro</x:v>
      </x:c>
      <x:c r="D73" s="9" t="str">
        <x:v>Yamaha</x:v>
      </x:c>
      <x:c r="E73" s="9" t="str">
        <x:v>FZ25</x:v>
      </x:c>
      <x:c r="F73" s="9" t="str">
        <x:v>2022</x:v>
      </x:c>
      <x:c r="G73" s="14" t="n">
        <x:v>100</x:v>
      </x:c>
      <x:c r="H73" s="14" t="n">
        <x:v>80</x:v>
      </x:c>
      <x:c r="I73" s="16"/>
      <x:c r="J73" s="9" t="str">
        <x:v>Hífen na fonte; verificar SKU</x:v>
      </x:c>
      <x:c r="K73" s="9" t="str">
        <x:v>ND</x:v>
      </x:c>
      <x:c r="L73" s="9" t="str">
        <x:v>ND</x:v>
      </x:c>
      <x:c r="M73" s="11" t="str">
        <x:v>Reposição — confirmar manual</x:v>
      </x:c>
      <x:c r="N73" s="11" t="str">
        <x:v>S023</x:v>
      </x:c>
      <x:c r="O73" s="9" t="str">
        <x:v>Única referência nesta ficha</x:v>
      </x:c>
      <x:c r="P73" s="9" t="str">
        <x:v>Medidas do seletor Michelin. Índices do seletor não tratados como mínimos OEM; conferir manual brasileiro antes de aprovar SKU.</x:v>
      </x:c>
      <x:c r="Q73" s="9" t="str">
        <x:v>M025</x:v>
      </x:c>
    </x:row>
    <x:row r="74" ht="48" customHeight="1">
      <x:c r="A74" s="15" t="n">
        <x:v>17</x:v>
      </x:c>
      <x:c r="B74" s="13" t="str">
        <x:v>100/80-17</x:v>
      </x:c>
      <x:c r="C74" s="10" t="str">
        <x:v>Dianteiro</x:v>
      </x:c>
      <x:c r="D74" s="10" t="str">
        <x:v>Yamaha</x:v>
      </x:c>
      <x:c r="E74" s="10" t="str">
        <x:v>R15 ABS</x:v>
      </x:c>
      <x:c r="F74" s="10" t="str">
        <x:v>2026</x:v>
      </x:c>
      <x:c r="G74" s="15" t="n">
        <x:v>100</x:v>
      </x:c>
      <x:c r="H74" s="15" t="n">
        <x:v>80</x:v>
      </x:c>
      <x:c r="I74" s="17"/>
      <x:c r="J74" s="10" t="str">
        <x:v>Hífen na fonte; verificar SKU</x:v>
      </x:c>
      <x:c r="K74" s="10" t="str">
        <x:v>ND</x:v>
      </x:c>
      <x:c r="L74" s="10" t="str">
        <x:v>ND</x:v>
      </x:c>
      <x:c r="M74" s="10" t="str">
        <x:v>Medida confirmada na fonte</x:v>
      </x:c>
      <x:c r="N74" s="10" t="str">
        <x:v>S024</x:v>
      </x:c>
      <x:c r="O74" s="10" t="str">
        <x:v>Única referência nesta ficha</x:v>
      </x:c>
      <x:c r="P74" s="10" t="str"/>
      <x:c r="Q74" s="10" t="str">
        <x:v>M026</x:v>
      </x:c>
    </x:row>
    <x:row r="75" ht="48" customHeight="1">
      <x:c r="A75" s="14" t="n">
        <x:v>17</x:v>
      </x:c>
      <x:c r="B75" s="12" t="str">
        <x:v>100/80R17</x:v>
      </x:c>
      <x:c r="C75" s="9" t="str">
        <x:v>Dianteiro</x:v>
      </x:c>
      <x:c r="D75" s="9" t="str">
        <x:v>Haojue</x:v>
      </x:c>
      <x:c r="E75" s="9" t="str">
        <x:v>DR 160</x:v>
      </x:c>
      <x:c r="F75" s="9" t="str">
        <x:v>Não delimitado na fonte</x:v>
      </x:c>
      <x:c r="G75" s="14" t="n">
        <x:v>100</x:v>
      </x:c>
      <x:c r="H75" s="14" t="n">
        <x:v>80</x:v>
      </x:c>
      <x:c r="I75" s="16"/>
      <x:c r="J75" s="9" t="str">
        <x:v>Radial (R)</x:v>
      </x:c>
      <x:c r="K75" s="9" t="str">
        <x:v>52S</x:v>
      </x:c>
      <x:c r="L75" s="9" t="str">
        <x:v>Sem câmara</x:v>
      </x:c>
      <x:c r="M75" s="11" t="str">
        <x:v>Revisar construção no manual</x:v>
      </x:c>
      <x:c r="N75" s="11" t="str">
        <x:v>S069</x:v>
      </x:c>
      <x:c r="O75" s="9" t="str">
        <x:v>Única referência nesta ficha</x:v>
      </x:c>
      <x:c r="P75" s="9" t="str">
        <x:v>Ficha online imprime R nos dois eixos. Preservado literalmente; confirmar no manual antes de classificar SKU como radial.</x:v>
      </x:c>
      <x:c r="Q75" s="9" t="str">
        <x:v>M074</x:v>
      </x:c>
    </x:row>
    <x:row r="76" ht="48" customHeight="1">
      <x:c r="A76" s="15" t="n">
        <x:v>17</x:v>
      </x:c>
      <x:c r="B76" s="13" t="str">
        <x:v>110/70-17</x:v>
      </x:c>
      <x:c r="C76" s="10" t="str">
        <x:v>Dianteiro</x:v>
      </x:c>
      <x:c r="D76" s="10" t="str">
        <x:v>Royal Enfield</x:v>
      </x:c>
      <x:c r="E76" s="10" t="str">
        <x:v>Hunter 350</x:v>
      </x:c>
      <x:c r="F76" s="10" t="str">
        <x:v>Não delimitado na fonte</x:v>
      </x:c>
      <x:c r="G76" s="15" t="n">
        <x:v>110</x:v>
      </x:c>
      <x:c r="H76" s="15" t="n">
        <x:v>70</x:v>
      </x:c>
      <x:c r="I76" s="17"/>
      <x:c r="J76" s="10" t="str">
        <x:v>Hífen na fonte; verificar SKU</x:v>
      </x:c>
      <x:c r="K76" s="10" t="str">
        <x:v>54P</x:v>
      </x:c>
      <x:c r="L76" s="10" t="str">
        <x:v>ND</x:v>
      </x:c>
      <x:c r="M76" s="10" t="str">
        <x:v>Medida confirmada na fonte</x:v>
      </x:c>
      <x:c r="N76" s="10" t="str">
        <x:v>S044</x:v>
      </x:c>
      <x:c r="O76" s="10" t="str">
        <x:v>Única referência nesta ficha</x:v>
      </x:c>
      <x:c r="P76" s="10" t="str"/>
      <x:c r="Q76" s="10" t="str">
        <x:v>M051</x:v>
      </x:c>
    </x:row>
    <x:row r="77" ht="48" customHeight="1">
      <x:c r="A77" s="14" t="n">
        <x:v>17</x:v>
      </x:c>
      <x:c r="B77" s="12" t="str">
        <x:v>110/70R17</x:v>
      </x:c>
      <x:c r="C77" s="9" t="str">
        <x:v>Dianteiro</x:v>
      </x:c>
      <x:c r="D77" s="9" t="str">
        <x:v>Bajaj</x:v>
      </x:c>
      <x:c r="E77" s="9" t="str">
        <x:v>Dominar 400</x:v>
      </x:c>
      <x:c r="F77" s="9" t="str">
        <x:v>Produção anunciada em 30/04/2026</x:v>
      </x:c>
      <x:c r="G77" s="14" t="n">
        <x:v>110</x:v>
      </x:c>
      <x:c r="H77" s="14" t="n">
        <x:v>70</x:v>
      </x:c>
      <x:c r="I77" s="16"/>
      <x:c r="J77" s="9" t="str">
        <x:v>Radial (R)</x:v>
      </x:c>
      <x:c r="K77" s="9" t="str">
        <x:v>54H</x:v>
      </x:c>
      <x:c r="L77" s="9" t="str">
        <x:v>Sem câmara</x:v>
      </x:c>
      <x:c r="M77" s="9" t="str">
        <x:v>Medida confirmada na fonte</x:v>
      </x:c>
      <x:c r="N77" s="9" t="str">
        <x:v>S042</x:v>
      </x:c>
      <x:c r="O77" s="9" t="str">
        <x:v>Única referência nesta ficha</x:v>
      </x:c>
      <x:c r="P77" s="9" t="str">
        <x:v>Pirelli Diablo Rosso III.</x:v>
      </x:c>
      <x:c r="Q77" s="9" t="str">
        <x:v>M048</x:v>
      </x:c>
    </x:row>
    <x:row r="78" ht="48" customHeight="1">
      <x:c r="A78" s="15" t="n">
        <x:v>17</x:v>
      </x:c>
      <x:c r="B78" s="13" t="str">
        <x:v>110/70R17</x:v>
      </x:c>
      <x:c r="C78" s="10" t="str">
        <x:v>Dianteiro</x:v>
      </x:c>
      <x:c r="D78" s="10" t="str">
        <x:v>Bajaj</x:v>
      </x:c>
      <x:c r="E78" s="10" t="str">
        <x:v>Dominar NS400Z</x:v>
      </x:c>
      <x:c r="F78" s="10" t="str">
        <x:v>Produção anunciada em 30/04/2026</x:v>
      </x:c>
      <x:c r="G78" s="15" t="n">
        <x:v>110</x:v>
      </x:c>
      <x:c r="H78" s="15" t="n">
        <x:v>70</x:v>
      </x:c>
      <x:c r="I78" s="17"/>
      <x:c r="J78" s="10" t="str">
        <x:v>Radial (R)</x:v>
      </x:c>
      <x:c r="K78" s="10" t="str">
        <x:v>54H</x:v>
      </x:c>
      <x:c r="L78" s="10" t="str">
        <x:v>Sem câmara</x:v>
      </x:c>
      <x:c r="M78" s="10" t="str">
        <x:v>Medida confirmada na fonte</x:v>
      </x:c>
      <x:c r="N78" s="10" t="str">
        <x:v>S042</x:v>
      </x:c>
      <x:c r="O78" s="10" t="str">
        <x:v>Única referência nesta ficha</x:v>
      </x:c>
      <x:c r="P78" s="10" t="str">
        <x:v>Metzeler Sportec M9 RR. Traseiro diferente da Dominar 400.</x:v>
      </x:c>
      <x:c r="Q78" s="10" t="str">
        <x:v>M049</x:v>
      </x:c>
    </x:row>
    <x:row r="79" ht="48" customHeight="1">
      <x:c r="A79" s="14" t="n">
        <x:v>17</x:v>
      </x:c>
      <x:c r="B79" s="12" t="str">
        <x:v>110/70R17</x:v>
      </x:c>
      <x:c r="C79" s="9" t="str">
        <x:v>Dianteiro</x:v>
      </x:c>
      <x:c r="D79" s="9" t="str">
        <x:v>Honda</x:v>
      </x:c>
      <x:c r="E79" s="9" t="str">
        <x:v>CB 250F Twister ABS / CBS</x:v>
      </x:c>
      <x:c r="F79" s="9" t="str">
        <x:v>2019</x:v>
      </x:c>
      <x:c r="G79" s="14" t="n">
        <x:v>110</x:v>
      </x:c>
      <x:c r="H79" s="14" t="n">
        <x:v>70</x:v>
      </x:c>
      <x:c r="I79" s="16"/>
      <x:c r="J79" s="9" t="str">
        <x:v>Radial (R)</x:v>
      </x:c>
      <x:c r="K79" s="9" t="str">
        <x:v>54H</x:v>
      </x:c>
      <x:c r="L79" s="9" t="str">
        <x:v>Sem câmara</x:v>
      </x:c>
      <x:c r="M79" s="9" t="str">
        <x:v>Medida confirmada na fonte</x:v>
      </x:c>
      <x:c r="N79" s="9" t="str">
        <x:v>S006</x:v>
      </x:c>
      <x:c r="O79" s="9" t="str">
        <x:v>Única referência nesta ficha</x:v>
      </x:c>
      <x:c r="P79" s="9" t="str">
        <x:v>Pirelli Diablo Rosso II; PDF p.98. Manter o R da construção radial.</x:v>
      </x:c>
      <x:c r="Q79" s="9" t="str">
        <x:v>M007</x:v>
      </x:c>
    </x:row>
    <x:row r="80" ht="48" customHeight="1">
      <x:c r="A80" s="15" t="n">
        <x:v>17</x:v>
      </x:c>
      <x:c r="B80" s="13" t="str">
        <x:v>110/70R17</x:v>
      </x:c>
      <x:c r="C80" s="10" t="str">
        <x:v>Dianteiro</x:v>
      </x:c>
      <x:c r="D80" s="10" t="str">
        <x:v>Honda</x:v>
      </x:c>
      <x:c r="E80" s="10" t="str">
        <x:v>CB 300F Twister ABS / CBS</x:v>
      </x:c>
      <x:c r="F80" s="10" t="str">
        <x:v>2025–2026</x:v>
      </x:c>
      <x:c r="G80" s="15" t="n">
        <x:v>110</x:v>
      </x:c>
      <x:c r="H80" s="15" t="n">
        <x:v>70</x:v>
      </x:c>
      <x:c r="I80" s="17"/>
      <x:c r="J80" s="10" t="str">
        <x:v>Radial (R)</x:v>
      </x:c>
      <x:c r="K80" s="10" t="str">
        <x:v>54H</x:v>
      </x:c>
      <x:c r="L80" s="10" t="str">
        <x:v>ND</x:v>
      </x:c>
      <x:c r="M80" s="10" t="str">
        <x:v>Medida confirmada na fonte</x:v>
      </x:c>
      <x:c r="N80" s="10" t="str">
        <x:v>S007</x:v>
      </x:c>
      <x:c r="O80" s="10" t="str">
        <x:v>Única referência nesta ficha</x:v>
      </x:c>
      <x:c r="P80" s="10" t="str">
        <x:v>Não herdar 140/70R17 da CB 250F. Aplicação traseira é 150/60R17.</x:v>
      </x:c>
      <x:c r="Q80" s="10" t="str">
        <x:v>M008</x:v>
      </x:c>
    </x:row>
    <x:row r="81" ht="48" customHeight="1">
      <x:c r="A81" s="14" t="n">
        <x:v>17</x:v>
      </x:c>
      <x:c r="B81" s="12" t="str">
        <x:v>110/70R17</x:v>
      </x:c>
      <x:c r="C81" s="9" t="str">
        <x:v>Dianteiro</x:v>
      </x:c>
      <x:c r="D81" s="9" t="str">
        <x:v>Triumph</x:v>
      </x:c>
      <x:c r="E81" s="9" t="str">
        <x:v>Speed 400</x:v>
      </x:c>
      <x:c r="F81" s="9" t="str">
        <x:v>Geração de lançamento 2024</x:v>
      </x:c>
      <x:c r="G81" s="14" t="n">
        <x:v>110</x:v>
      </x:c>
      <x:c r="H81" s="14" t="n">
        <x:v>70</x:v>
      </x:c>
      <x:c r="I81" s="16"/>
      <x:c r="J81" s="9" t="str">
        <x:v>Radial (R)</x:v>
      </x:c>
      <x:c r="K81" s="9" t="str">
        <x:v>54H</x:v>
      </x:c>
      <x:c r="L81" s="9" t="str">
        <x:v>ND</x:v>
      </x:c>
      <x:c r="M81" s="9" t="str">
        <x:v>Medida confirmada na fonte</x:v>
      </x:c>
      <x:c r="N81" s="9" t="str">
        <x:v>S076</x:v>
      </x:c>
      <x:c r="O81" s="9" t="str">
        <x:v>Única referência nesta ficha</x:v>
      </x:c>
      <x:c r="P81" s="9" t="str">
        <x:v>Manual brasileiro, p.178.</x:v>
      </x:c>
      <x:c r="Q81" s="9" t="str">
        <x:v>M081</x:v>
      </x:c>
    </x:row>
    <x:row r="82" ht="48" customHeight="1">
      <x:c r="A82" s="15" t="n">
        <x:v>17</x:v>
      </x:c>
      <x:c r="B82" s="13" t="str">
        <x:v>110/80-17</x:v>
      </x:c>
      <x:c r="C82" s="10" t="str">
        <x:v>Traseiro</x:v>
      </x:c>
      <x:c r="D82" s="10" t="str">
        <x:v>Honda</x:v>
      </x:c>
      <x:c r="E82" s="10" t="str">
        <x:v>CG 150 Sport</x:v>
      </x:c>
      <x:c r="F82" s="10" t="str">
        <x:v>2005</x:v>
      </x:c>
      <x:c r="G82" s="15" t="n">
        <x:v>110</x:v>
      </x:c>
      <x:c r="H82" s="15" t="n">
        <x:v>80</x:v>
      </x:c>
      <x:c r="I82" s="17"/>
      <x:c r="J82" s="10" t="str">
        <x:v>Hífen na fonte; verificar SKU</x:v>
      </x:c>
      <x:c r="K82" s="10" t="str">
        <x:v>57P</x:v>
      </x:c>
      <x:c r="L82" s="10" t="str">
        <x:v>Sem câmara</x:v>
      </x:c>
      <x:c r="M82" s="10" t="str">
        <x:v>Medida confirmada na fonte</x:v>
      </x:c>
      <x:c r="N82" s="10" t="str">
        <x:v>S003</x:v>
      </x:c>
      <x:c r="O82" s="10" t="str">
        <x:v>Única referência nesta ficha</x:v>
      </x:c>
      <x:c r="P82" s="10" t="str"/>
      <x:c r="Q82" s="10" t="str">
        <x:v>M003</x:v>
      </x:c>
    </x:row>
    <x:row r="83" ht="48" customHeight="1">
      <x:c r="A83" s="14" t="n">
        <x:v>17</x:v>
      </x:c>
      <x:c r="B83" s="12" t="str">
        <x:v>110/90-17</x:v>
      </x:c>
      <x:c r="C83" s="9" t="str">
        <x:v>Traseiro</x:v>
      </x:c>
      <x:c r="D83" s="9" t="str">
        <x:v>Honda</x:v>
      </x:c>
      <x:c r="E83" s="9" t="str">
        <x:v>NXR 160 Bros ABS / CBS</x:v>
      </x:c>
      <x:c r="F83" s="9" t="str">
        <x:v>2026</x:v>
      </x:c>
      <x:c r="G83" s="14" t="n">
        <x:v>110</x:v>
      </x:c>
      <x:c r="H83" s="14" t="n">
        <x:v>90</x:v>
      </x:c>
      <x:c r="I83" s="16"/>
      <x:c r="J83" s="9" t="str">
        <x:v>Hífen na fonte; verificar SKU</x:v>
      </x:c>
      <x:c r="K83" s="9" t="str">
        <x:v>60P</x:v>
      </x:c>
      <x:c r="L83" s="9" t="str">
        <x:v>ND</x:v>
      </x:c>
      <x:c r="M83" s="9" t="str">
        <x:v>Medida confirmada na fonte</x:v>
      </x:c>
      <x:c r="N83" s="9" t="str">
        <x:v>S008</x:v>
      </x:c>
      <x:c r="O83" s="9" t="str">
        <x:v>Única referência nesta ficha</x:v>
      </x:c>
      <x:c r="P83" s="9" t="str"/>
      <x:c r="Q83" s="9" t="str">
        <x:v>M009</x:v>
      </x:c>
    </x:row>
    <x:row r="84" ht="48" customHeight="1">
      <x:c r="A84" s="15" t="n">
        <x:v>17</x:v>
      </x:c>
      <x:c r="B84" s="13" t="str">
        <x:v>110/90-17</x:v>
      </x:c>
      <x:c r="C84" s="10" t="str">
        <x:v>Traseiro</x:v>
      </x:c>
      <x:c r="D84" s="10" t="str">
        <x:v>Yamaha</x:v>
      </x:c>
      <x:c r="E84" s="10" t="str">
        <x:v>Crosser 150</x:v>
      </x:c>
      <x:c r="F84" s="10" t="str">
        <x:v>2022</x:v>
      </x:c>
      <x:c r="G84" s="15" t="n">
        <x:v>110</x:v>
      </x:c>
      <x:c r="H84" s="15" t="n">
        <x:v>90</x:v>
      </x:c>
      <x:c r="I84" s="17"/>
      <x:c r="J84" s="10" t="str">
        <x:v>Hífen na fonte; verificar SKU</x:v>
      </x:c>
      <x:c r="K84" s="10" t="str">
        <x:v>60P</x:v>
      </x:c>
      <x:c r="L84" s="10" t="str">
        <x:v>Com câmara</x:v>
      </x:c>
      <x:c r="M84" s="10" t="str">
        <x:v>Medida confirmada na fonte</x:v>
      </x:c>
      <x:c r="N84" s="10" t="str">
        <x:v>S020</x:v>
      </x:c>
      <x:c r="O84" s="10" t="str">
        <x:v>Única referência nesta ficha</x:v>
      </x:c>
      <x:c r="P84" s="10" t="str">
        <x:v>Manual, p.6-22; Metzeler Tourance. Link legado pode redirecionar ao portal Yamaha.</x:v>
      </x:c>
      <x:c r="Q84" s="10" t="str">
        <x:v>M022</x:v>
      </x:c>
    </x:row>
    <x:row r="85" ht="48" customHeight="1">
      <x:c r="A85" s="14" t="n">
        <x:v>17</x:v>
      </x:c>
      <x:c r="B85" s="12" t="str">
        <x:v>120/70R17</x:v>
      </x:c>
      <x:c r="C85" s="9" t="str">
        <x:v>Dianteiro</x:v>
      </x:c>
      <x:c r="D85" s="9" t="str">
        <x:v>Royal Enfield</x:v>
      </x:c>
      <x:c r="E85" s="9" t="str">
        <x:v>Guerrilla 450</x:v>
      </x:c>
      <x:c r="F85" s="9" t="str">
        <x:v>Não delimitado na fonte</x:v>
      </x:c>
      <x:c r="G85" s="14" t="n">
        <x:v>120</x:v>
      </x:c>
      <x:c r="H85" s="14" t="n">
        <x:v>70</x:v>
      </x:c>
      <x:c r="I85" s="16"/>
      <x:c r="J85" s="9" t="str">
        <x:v>Radial (R)</x:v>
      </x:c>
      <x:c r="K85" s="9" t="str">
        <x:v>ND</x:v>
      </x:c>
      <x:c r="L85" s="9" t="str">
        <x:v>Sem câmara</x:v>
      </x:c>
      <x:c r="M85" s="9" t="str">
        <x:v>Medida confirmada na fonte</x:v>
      </x:c>
      <x:c r="N85" s="9" t="str">
        <x:v>S048</x:v>
      </x:c>
      <x:c r="O85" s="9" t="str">
        <x:v>Única referência nesta ficha</x:v>
      </x:c>
      <x:c r="P85" s="9" t="str">
        <x:v>Medidas da ficha Brasil; montagem sem câmara confirmada na página brasileira do modelo. Índices pendentes.</x:v>
      </x:c>
      <x:c r="Q85" s="9" t="str">
        <x:v>M055</x:v>
      </x:c>
    </x:row>
    <x:row r="86" ht="48" customHeight="1">
      <x:c r="A86" s="15" t="n">
        <x:v>17</x:v>
      </x:c>
      <x:c r="B86" s="13" t="str">
        <x:v>120/70ZR17</x:v>
      </x:c>
      <x:c r="C86" s="10" t="str">
        <x:v>Dianteiro</x:v>
      </x:c>
      <x:c r="D86" s="10" t="str">
        <x:v>Ducati</x:v>
      </x:c>
      <x:c r="E86" s="10" t="str">
        <x:v>Panigale V4 / V4 S</x:v>
      </x:c>
      <x:c r="F86" s="10" t="str">
        <x:v>Ficha da 7ª geração; ano não delimitado</x:v>
      </x:c>
      <x:c r="G86" s="15" t="n">
        <x:v>120</x:v>
      </x:c>
      <x:c r="H86" s="15" t="n">
        <x:v>70</x:v>
      </x:c>
      <x:c r="I86" s="17"/>
      <x:c r="J86" s="10" t="str">
        <x:v>Radial (ZR)</x:v>
      </x:c>
      <x:c r="K86" s="10" t="str">
        <x:v>ND</x:v>
      </x:c>
      <x:c r="L86" s="10" t="str">
        <x:v>ND</x:v>
      </x:c>
      <x:c r="M86" s="10" t="str">
        <x:v>Medida confirmada na fonte</x:v>
      </x:c>
      <x:c r="N86" s="10" t="str">
        <x:v>S075</x:v>
      </x:c>
      <x:c r="O86" s="10" t="str">
        <x:v>Única referência nesta ficha</x:v>
      </x:c>
      <x:c r="P86" s="10" t="str">
        <x:v>Diablo Supercorsa SP-V4. Não estender 200/60ZR17 a todas as gerações Panigale; índices a confirmar no manual.</x:v>
      </x:c>
      <x:c r="Q86" s="10" t="str">
        <x:v>M080</x:v>
      </x:c>
    </x:row>
    <x:row r="87" ht="48" customHeight="1">
      <x:c r="A87" s="14" t="n">
        <x:v>17</x:v>
      </x:c>
      <x:c r="B87" s="12" t="str">
        <x:v>120/70ZR17</x:v>
      </x:c>
      <x:c r="C87" s="9" t="str">
        <x:v>Dianteiro</x:v>
      </x:c>
      <x:c r="D87" s="9" t="str">
        <x:v>Honda</x:v>
      </x:c>
      <x:c r="E87" s="9" t="str">
        <x:v>NC 750X</x:v>
      </x:c>
      <x:c r="F87" s="9" t="str">
        <x:v>2016</x:v>
      </x:c>
      <x:c r="G87" s="14" t="n">
        <x:v>120</x:v>
      </x:c>
      <x:c r="H87" s="14" t="n">
        <x:v>70</x:v>
      </x:c>
      <x:c r="I87" s="16"/>
      <x:c r="J87" s="9" t="str">
        <x:v>Radial (ZR)</x:v>
      </x:c>
      <x:c r="K87" s="9" t="str">
        <x:v>(58W)</x:v>
      </x:c>
      <x:c r="L87" s="9" t="str">
        <x:v>ND</x:v>
      </x:c>
      <x:c r="M87" s="9" t="str">
        <x:v>Medida confirmada na fonte</x:v>
      </x:c>
      <x:c r="N87" s="9" t="str">
        <x:v>S018</x:v>
      </x:c>
      <x:c r="O87" s="9" t="str">
        <x:v>Única referência nesta ficha</x:v>
      </x:c>
      <x:c r="P87" s="9" t="str">
        <x:v>PDF p.112; manter ZR e índice entre parênteses.</x:v>
      </x:c>
      <x:c r="Q87" s="9" t="str">
        <x:v>M020</x:v>
      </x:c>
    </x:row>
    <x:row r="88" ht="48" customHeight="1">
      <x:c r="A88" s="15" t="n">
        <x:v>17</x:v>
      </x:c>
      <x:c r="B88" s="13" t="str">
        <x:v>120/70ZR17</x:v>
      </x:c>
      <x:c r="C88" s="10" t="str">
        <x:v>Dianteiro</x:v>
      </x:c>
      <x:c r="D88" s="10" t="str">
        <x:v>Honda</x:v>
      </x:c>
      <x:c r="E88" s="10" t="str">
        <x:v>CB 650R E-Clutch</x:v>
      </x:c>
      <x:c r="F88" s="10" t="str">
        <x:v>2026</x:v>
      </x:c>
      <x:c r="G88" s="15" t="n">
        <x:v>120</x:v>
      </x:c>
      <x:c r="H88" s="15" t="n">
        <x:v>70</x:v>
      </x:c>
      <x:c r="I88" s="17"/>
      <x:c r="J88" s="10" t="str">
        <x:v>Radial (ZR)</x:v>
      </x:c>
      <x:c r="K88" s="10" t="str">
        <x:v>(58W)</x:v>
      </x:c>
      <x:c r="L88" s="10" t="str">
        <x:v>ND</x:v>
      </x:c>
      <x:c r="M88" s="10" t="str">
        <x:v>Medida confirmada na fonte</x:v>
      </x:c>
      <x:c r="N88" s="10" t="str">
        <x:v>S019</x:v>
      </x:c>
      <x:c r="O88" s="10" t="str">
        <x:v>Única referência nesta ficha</x:v>
      </x:c>
      <x:c r="P88" s="10" t="str"/>
      <x:c r="Q88" s="10" t="str">
        <x:v>M021</x:v>
      </x:c>
    </x:row>
    <x:row r="89" ht="48" customHeight="1">
      <x:c r="A89" s="14" t="n">
        <x:v>17</x:v>
      </x:c>
      <x:c r="B89" s="12" t="str">
        <x:v>120/70ZR17</x:v>
      </x:c>
      <x:c r="C89" s="9" t="str">
        <x:v>Dianteiro</x:v>
      </x:c>
      <x:c r="D89" s="9" t="str">
        <x:v>Kawasaki</x:v>
      </x:c>
      <x:c r="E89" s="9" t="str">
        <x:v>Z650</x:v>
      </x:c>
      <x:c r="F89" s="9" t="str">
        <x:v>2026</x:v>
      </x:c>
      <x:c r="G89" s="14" t="n">
        <x:v>120</x:v>
      </x:c>
      <x:c r="H89" s="14" t="n">
        <x:v>70</x:v>
      </x:c>
      <x:c r="I89" s="16"/>
      <x:c r="J89" s="9" t="str">
        <x:v>Radial (ZR)</x:v>
      </x:c>
      <x:c r="K89" s="9" t="str">
        <x:v>(58W)</x:v>
      </x:c>
      <x:c r="L89" s="9" t="str">
        <x:v>ND</x:v>
      </x:c>
      <x:c r="M89" s="9" t="str">
        <x:v>Medida confirmada na fonte</x:v>
      </x:c>
      <x:c r="N89" s="9" t="str">
        <x:v>S071</x:v>
      </x:c>
      <x:c r="O89" s="9" t="str">
        <x:v>Única referência nesta ficha</x:v>
      </x:c>
      <x:c r="P89" s="9" t="str"/>
      <x:c r="Q89" s="9" t="str">
        <x:v>M076</x:v>
      </x:c>
    </x:row>
    <x:row r="90" ht="48" customHeight="1">
      <x:c r="A90" s="15" t="n">
        <x:v>17</x:v>
      </x:c>
      <x:c r="B90" s="13" t="str">
        <x:v>120/70ZR17</x:v>
      </x:c>
      <x:c r="C90" s="10" t="str">
        <x:v>Dianteiro</x:v>
      </x:c>
      <x:c r="D90" s="10" t="str">
        <x:v>Kawasaki</x:v>
      </x:c>
      <x:c r="E90" s="10" t="str">
        <x:v>Z900</x:v>
      </x:c>
      <x:c r="F90" s="10" t="str">
        <x:v>2026</x:v>
      </x:c>
      <x:c r="G90" s="15" t="n">
        <x:v>120</x:v>
      </x:c>
      <x:c r="H90" s="15" t="n">
        <x:v>70</x:v>
      </x:c>
      <x:c r="I90" s="17"/>
      <x:c r="J90" s="10" t="str">
        <x:v>Radial (ZR)</x:v>
      </x:c>
      <x:c r="K90" s="10" t="str">
        <x:v>(58W)</x:v>
      </x:c>
      <x:c r="L90" s="10" t="str">
        <x:v>ND</x:v>
      </x:c>
      <x:c r="M90" s="10" t="str">
        <x:v>Medida confirmada na fonte</x:v>
      </x:c>
      <x:c r="N90" s="10" t="str">
        <x:v>S073</x:v>
      </x:c>
      <x:c r="O90" s="10" t="str">
        <x:v>Única referência nesta ficha</x:v>
      </x:c>
      <x:c r="P90" s="10" t="str"/>
      <x:c r="Q90" s="10" t="str">
        <x:v>M078</x:v>
      </x:c>
    </x:row>
    <x:row r="91" ht="48" customHeight="1">
      <x:c r="A91" s="14" t="n">
        <x:v>17</x:v>
      </x:c>
      <x:c r="B91" s="12" t="str">
        <x:v>120/70ZR17</x:v>
      </x:c>
      <x:c r="C91" s="9" t="str">
        <x:v>Dianteiro</x:v>
      </x:c>
      <x:c r="D91" s="9" t="str">
        <x:v>Suzuki</x:v>
      </x:c>
      <x:c r="E91" s="9" t="str">
        <x:v>GSX-S1000</x:v>
      </x:c>
      <x:c r="F91" s="9" t="str">
        <x:v>Não delimitado na fonte</x:v>
      </x:c>
      <x:c r="G91" s="14" t="n">
        <x:v>120</x:v>
      </x:c>
      <x:c r="H91" s="14" t="n">
        <x:v>70</x:v>
      </x:c>
      <x:c r="I91" s="16"/>
      <x:c r="J91" s="9" t="str">
        <x:v>Radial (ZR)</x:v>
      </x:c>
      <x:c r="K91" s="9" t="str">
        <x:v>(58W)</x:v>
      </x:c>
      <x:c r="L91" s="9" t="str">
        <x:v>Sem câmara</x:v>
      </x:c>
      <x:c r="M91" s="9" t="str">
        <x:v>Medida confirmada na fonte</x:v>
      </x:c>
      <x:c r="N91" s="9" t="str">
        <x:v>S035</x:v>
      </x:c>
      <x:c r="O91" s="9" t="str">
        <x:v>Única referência nesta ficha</x:v>
      </x:c>
      <x:c r="P91" s="9" t="str"/>
      <x:c r="Q91" s="9" t="str">
        <x:v>M037</x:v>
      </x:c>
    </x:row>
    <x:row r="92" ht="48" customHeight="1">
      <x:c r="A92" s="15" t="n">
        <x:v>17</x:v>
      </x:c>
      <x:c r="B92" s="13" t="str">
        <x:v>120/70ZR17</x:v>
      </x:c>
      <x:c r="C92" s="10" t="str">
        <x:v>Dianteiro</x:v>
      </x:c>
      <x:c r="D92" s="10" t="str">
        <x:v>Suzuki</x:v>
      </x:c>
      <x:c r="E92" s="10" t="str">
        <x:v>GSX-S1000 GT</x:v>
      </x:c>
      <x:c r="F92" s="10" t="str">
        <x:v>Não delimitado na fonte</x:v>
      </x:c>
      <x:c r="G92" s="15" t="n">
        <x:v>120</x:v>
      </x:c>
      <x:c r="H92" s="15" t="n">
        <x:v>70</x:v>
      </x:c>
      <x:c r="I92" s="17"/>
      <x:c r="J92" s="10" t="str">
        <x:v>Radial (ZR)</x:v>
      </x:c>
      <x:c r="K92" s="10" t="str">
        <x:v>(58W)</x:v>
      </x:c>
      <x:c r="L92" s="10" t="str">
        <x:v>Sem câmara</x:v>
      </x:c>
      <x:c r="M92" s="10" t="str">
        <x:v>Medida confirmada na fonte</x:v>
      </x:c>
      <x:c r="N92" s="10" t="str">
        <x:v>S036</x:v>
      </x:c>
      <x:c r="O92" s="10" t="str">
        <x:v>Única referência nesta ficha</x:v>
      </x:c>
      <x:c r="P92" s="10" t="str"/>
      <x:c r="Q92" s="10" t="str">
        <x:v>M038</x:v>
      </x:c>
    </x:row>
    <x:row r="93" ht="48" customHeight="1">
      <x:c r="A93" s="14" t="n">
        <x:v>17</x:v>
      </x:c>
      <x:c r="B93" s="12" t="str">
        <x:v>120/70ZR17</x:v>
      </x:c>
      <x:c r="C93" s="9" t="str">
        <x:v>Dianteiro</x:v>
      </x:c>
      <x:c r="D93" s="9" t="str">
        <x:v>Suzuki</x:v>
      </x:c>
      <x:c r="E93" s="9" t="str">
        <x:v>GSX-S1000 GX</x:v>
      </x:c>
      <x:c r="F93" s="9" t="str">
        <x:v>Não delimitado na fonte</x:v>
      </x:c>
      <x:c r="G93" s="14" t="n">
        <x:v>120</x:v>
      </x:c>
      <x:c r="H93" s="14" t="n">
        <x:v>70</x:v>
      </x:c>
      <x:c r="I93" s="16"/>
      <x:c r="J93" s="9" t="str">
        <x:v>Radial (ZR)</x:v>
      </x:c>
      <x:c r="K93" s="9" t="str">
        <x:v>58W</x:v>
      </x:c>
      <x:c r="L93" s="9" t="str">
        <x:v>ND</x:v>
      </x:c>
      <x:c r="M93" s="9" t="str">
        <x:v>Medida confirmada na fonte</x:v>
      </x:c>
      <x:c r="N93" s="9" t="str">
        <x:v>S037</x:v>
      </x:c>
      <x:c r="O93" s="9" t="str">
        <x:v>Única referência nesta ficha</x:v>
      </x:c>
      <x:c r="P93" s="9" t="str">
        <x:v>Índices transcritos da ficha; conferir marcações completas no manual e no pneu.</x:v>
      </x:c>
      <x:c r="Q93" s="9" t="str">
        <x:v>M039</x:v>
      </x:c>
    </x:row>
    <x:row r="94" ht="48" customHeight="1">
      <x:c r="A94" s="15" t="n">
        <x:v>17</x:v>
      </x:c>
      <x:c r="B94" s="13" t="str">
        <x:v>120/70ZR17</x:v>
      </x:c>
      <x:c r="C94" s="10" t="str">
        <x:v>Dianteiro</x:v>
      </x:c>
      <x:c r="D94" s="10" t="str">
        <x:v>Suzuki</x:v>
      </x:c>
      <x:c r="E94" s="10" t="str">
        <x:v>GSX-R1000R ABS</x:v>
      </x:c>
      <x:c r="F94" s="10" t="str">
        <x:v>Catálogo publicado em 2019</x:v>
      </x:c>
      <x:c r="G94" s="15" t="n">
        <x:v>120</x:v>
      </x:c>
      <x:c r="H94" s="15" t="n">
        <x:v>70</x:v>
      </x:c>
      <x:c r="I94" s="17"/>
      <x:c r="J94" s="10" t="str">
        <x:v>Radial (ZR)</x:v>
      </x:c>
      <x:c r="K94" s="10" t="str">
        <x:v>(58W)</x:v>
      </x:c>
      <x:c r="L94" s="10" t="str">
        <x:v>ND</x:v>
      </x:c>
      <x:c r="M94" s="10" t="str">
        <x:v>Medida confirmada na fonte</x:v>
      </x:c>
      <x:c r="N94" s="10" t="str">
        <x:v>S038</x:v>
      </x:c>
      <x:c r="O94" s="10" t="str">
        <x:v>Única referência nesta ficha</x:v>
      </x:c>
      <x:c r="P94" s="10" t="str">
        <x:v>Data do catálogo não delimita anos-modelo. Traseiro perfil 55, diferente da GSX-S1000 perfil 50.</x:v>
      </x:c>
      <x:c r="Q94" s="10" t="str">
        <x:v>M040</x:v>
      </x:c>
    </x:row>
    <x:row r="95" ht="48" customHeight="1">
      <x:c r="A95" s="14" t="n">
        <x:v>17</x:v>
      </x:c>
      <x:c r="B95" s="12" t="str">
        <x:v>120/70ZR17</x:v>
      </x:c>
      <x:c r="C95" s="9" t="str">
        <x:v>Dianteiro</x:v>
      </x:c>
      <x:c r="D95" s="9" t="str">
        <x:v>Suzuki</x:v>
      </x:c>
      <x:c r="E95" s="9" t="str">
        <x:v>GSX-8S</x:v>
      </x:c>
      <x:c r="F95" s="9" t="str">
        <x:v>2026</x:v>
      </x:c>
      <x:c r="G95" s="14" t="n">
        <x:v>120</x:v>
      </x:c>
      <x:c r="H95" s="14" t="n">
        <x:v>70</x:v>
      </x:c>
      <x:c r="I95" s="16"/>
      <x:c r="J95" s="9" t="str">
        <x:v>Radial (ZR)</x:v>
      </x:c>
      <x:c r="K95" s="9" t="str">
        <x:v>ND</x:v>
      </x:c>
      <x:c r="L95" s="9" t="str">
        <x:v>Sem câmara</x:v>
      </x:c>
      <x:c r="M95" s="9" t="str">
        <x:v>Medida confirmada na fonte</x:v>
      </x:c>
      <x:c r="N95" s="9" t="str">
        <x:v>S040</x:v>
      </x:c>
      <x:c r="O95" s="9" t="str">
        <x:v>Única referência nesta ficha</x:v>
      </x:c>
      <x:c r="P95" s="9" t="str">
        <x:v>Dunlop Sportmax Roadsport2; índices não preenchidos porque não constam no trecho da ficha consultado.</x:v>
      </x:c>
      <x:c r="Q95" s="9" t="str">
        <x:v>M042</x:v>
      </x:c>
    </x:row>
    <x:row r="96" ht="48" customHeight="1">
      <x:c r="A96" s="15" t="n">
        <x:v>17</x:v>
      </x:c>
      <x:c r="B96" s="13" t="str">
        <x:v>120/70ZR17</x:v>
      </x:c>
      <x:c r="C96" s="10" t="str">
        <x:v>Dianteiro</x:v>
      </x:c>
      <x:c r="D96" s="10" t="str">
        <x:v>Yamaha</x:v>
      </x:c>
      <x:c r="E96" s="10" t="str">
        <x:v>MT-07</x:v>
      </x:c>
      <x:c r="F96" s="10" t="str">
        <x:v>2021 — Japão</x:v>
      </x:c>
      <x:c r="G96" s="15" t="n">
        <x:v>120</x:v>
      </x:c>
      <x:c r="H96" s="15" t="n">
        <x:v>70</x:v>
      </x:c>
      <x:c r="I96" s="17"/>
      <x:c r="J96" s="10" t="str">
        <x:v>Radial (ZR)</x:v>
      </x:c>
      <x:c r="K96" s="10" t="str">
        <x:v>(58W)</x:v>
      </x:c>
      <x:c r="L96" s="10" t="str">
        <x:v>Sem câmara</x:v>
      </x:c>
      <x:c r="M96" s="11" t="str">
        <x:v>Referência internacional</x:v>
      </x:c>
      <x:c r="N96" s="11" t="str">
        <x:v>S029</x:v>
      </x:c>
      <x:c r="O96" s="10" t="str">
        <x:v>Única referência nesta ficha</x:v>
      </x:c>
      <x:c r="P96" s="10" t="str"/>
      <x:c r="Q96" s="10" t="str">
        <x:v>M031</x:v>
      </x:c>
    </x:row>
    <x:row r="97" ht="48" customHeight="1">
      <x:c r="A97" s="14" t="n">
        <x:v>17</x:v>
      </x:c>
      <x:c r="B97" s="12" t="str">
        <x:v>120/80-17</x:v>
      </x:c>
      <x:c r="C97" s="9" t="str">
        <x:v>Traseiro</x:v>
      </x:c>
      <x:c r="D97" s="9" t="str">
        <x:v>Bajaj</x:v>
      </x:c>
      <x:c r="E97" s="9" t="str">
        <x:v>Pulsar N150</x:v>
      </x:c>
      <x:c r="F97" s="9" t="str">
        <x:v>Produção anunciada em 30/04/2026</x:v>
      </x:c>
      <x:c r="G97" s="14" t="n">
        <x:v>120</x:v>
      </x:c>
      <x:c r="H97" s="14" t="n">
        <x:v>80</x:v>
      </x:c>
      <x:c r="I97" s="16"/>
      <x:c r="J97" s="9" t="str">
        <x:v>Hífen na fonte; verificar SKU</x:v>
      </x:c>
      <x:c r="K97" s="9" t="str">
        <x:v>61P</x:v>
      </x:c>
      <x:c r="L97" s="9" t="str">
        <x:v>Sem câmara</x:v>
      </x:c>
      <x:c r="M97" s="9" t="str">
        <x:v>Medida confirmada na fonte</x:v>
      </x:c>
      <x:c r="N97" s="9" t="str">
        <x:v>S042</x:v>
      </x:c>
      <x:c r="O97" s="9" t="str">
        <x:v>Única referência nesta ficha</x:v>
      </x:c>
      <x:c r="P97" s="9" t="str">
        <x:v>Pirelli Sport Demon. Comunicado não delimita todos os anos-modelo.</x:v>
      </x:c>
      <x:c r="Q97" s="9" t="str">
        <x:v>M044</x:v>
      </x:c>
    </x:row>
    <x:row r="98" ht="48" customHeight="1">
      <x:c r="A98" s="15" t="n">
        <x:v>17</x:v>
      </x:c>
      <x:c r="B98" s="13" t="str">
        <x:v>120/90-17</x:v>
      </x:c>
      <x:c r="C98" s="10" t="str">
        <x:v>Traseiro</x:v>
      </x:c>
      <x:c r="D98" s="10" t="str">
        <x:v>Royal Enfield</x:v>
      </x:c>
      <x:c r="E98" s="10" t="str">
        <x:v>Himalayan 411</x:v>
      </x:c>
      <x:c r="F98" s="10" t="str">
        <x:v>Não delimitado na fonte</x:v>
      </x:c>
      <x:c r="G98" s="15" t="n">
        <x:v>120</x:v>
      </x:c>
      <x:c r="H98" s="15" t="n">
        <x:v>90</x:v>
      </x:c>
      <x:c r="I98" s="17"/>
      <x:c r="J98" s="10" t="str">
        <x:v>Hífen na fonte; verificar SKU</x:v>
      </x:c>
      <x:c r="K98" s="10" t="str">
        <x:v>64S</x:v>
      </x:c>
      <x:c r="L98" s="10" t="str">
        <x:v>ND</x:v>
      </x:c>
      <x:c r="M98" s="10" t="str">
        <x:v>Medida confirmada na fonte</x:v>
      </x:c>
      <x:c r="N98" s="10" t="str">
        <x:v>S050</x:v>
      </x:c>
      <x:c r="O98" s="10" t="str">
        <x:v>Única referência nesta ficha</x:v>
      </x:c>
      <x:c r="P98" s="10" t="str">
        <x:v>PDF p.37. Índice dianteiro varia conforme pneu listado no manual; não misturar os pares sem conferir especificação.</x:v>
      </x:c>
      <x:c r="Q98" s="10" t="str">
        <x:v>M057</x:v>
      </x:c>
    </x:row>
    <x:row r="99" ht="48" customHeight="1">
      <x:c r="A99" s="14" t="n">
        <x:v>17</x:v>
      </x:c>
      <x:c r="B99" s="12" t="str">
        <x:v>120/90-17</x:v>
      </x:c>
      <x:c r="C99" s="9" t="str">
        <x:v>Traseiro</x:v>
      </x:c>
      <x:c r="D99" s="9" t="str">
        <x:v>Royal Enfield</x:v>
      </x:c>
      <x:c r="E99" s="9" t="str">
        <x:v>Scram 411</x:v>
      </x:c>
      <x:c r="F99" s="9" t="str">
        <x:v>Manual internacional, ano não delimitado</x:v>
      </x:c>
      <x:c r="G99" s="14" t="n">
        <x:v>120</x:v>
      </x:c>
      <x:c r="H99" s="14" t="n">
        <x:v>90</x:v>
      </x:c>
      <x:c r="I99" s="16"/>
      <x:c r="J99" s="9" t="str">
        <x:v>Hífen na fonte; verificar SKU</x:v>
      </x:c>
      <x:c r="K99" s="9" t="str">
        <x:v>ND</x:v>
      </x:c>
      <x:c r="L99" s="9" t="str">
        <x:v>ND</x:v>
      </x:c>
      <x:c r="M99" s="11" t="str">
        <x:v>Referência internacional</x:v>
      </x:c>
      <x:c r="N99" s="11" t="str">
        <x:v>S052</x:v>
      </x:c>
      <x:c r="O99" s="9" t="str">
        <x:v>Única referência nesta ficha</x:v>
      </x:c>
      <x:c r="P99" s="9" t="str"/>
      <x:c r="Q99" s="9" t="str">
        <x:v>M059</x:v>
      </x:c>
    </x:row>
    <x:row r="100" ht="48" customHeight="1">
      <x:c r="A100" s="15" t="n">
        <x:v>17</x:v>
      </x:c>
      <x:c r="B100" s="13" t="str">
        <x:v>130/70-17</x:v>
      </x:c>
      <x:c r="C100" s="10" t="str">
        <x:v>Traseiro</x:v>
      </x:c>
      <x:c r="D100" s="10" t="str">
        <x:v>Bajaj</x:v>
      </x:c>
      <x:c r="E100" s="10" t="str">
        <x:v>Dominar 160</x:v>
      </x:c>
      <x:c r="F100" s="10" t="str">
        <x:v>Produção anunciada em 30/04/2026</x:v>
      </x:c>
      <x:c r="G100" s="15" t="n">
        <x:v>130</x:v>
      </x:c>
      <x:c r="H100" s="15" t="n">
        <x:v>70</x:v>
      </x:c>
      <x:c r="I100" s="17"/>
      <x:c r="J100" s="10" t="str">
        <x:v>Hífen na fonte; verificar SKU</x:v>
      </x:c>
      <x:c r="K100" s="10" t="str">
        <x:v>62S</x:v>
      </x:c>
      <x:c r="L100" s="10" t="str">
        <x:v>Sem câmara</x:v>
      </x:c>
      <x:c r="M100" s="10" t="str">
        <x:v>Medida confirmada na fonte</x:v>
      </x:c>
      <x:c r="N100" s="10" t="str">
        <x:v>S042</x:v>
      </x:c>
      <x:c r="O100" s="10" t="str">
        <x:v>Única referência nesta ficha</x:v>
      </x:c>
      <x:c r="P100" s="10" t="str">
        <x:v>Pirelli Sport Demon. Não estender automaticamente a lotes anteriores.</x:v>
      </x:c>
      <x:c r="Q100" s="10" t="str">
        <x:v>M045</x:v>
      </x:c>
    </x:row>
    <x:row r="101" ht="48" customHeight="1">
      <x:c r="A101" s="14" t="n">
        <x:v>17</x:v>
      </x:c>
      <x:c r="B101" s="12" t="str">
        <x:v>130/70-17</x:v>
      </x:c>
      <x:c r="C101" s="9" t="str">
        <x:v>Traseiro</x:v>
      </x:c>
      <x:c r="D101" s="9" t="str">
        <x:v>Bajaj</x:v>
      </x:c>
      <x:c r="E101" s="9" t="str">
        <x:v>Dominar 200</x:v>
      </x:c>
      <x:c r="F101" s="9" t="str">
        <x:v>Produção anunciada em 30/04/2026</x:v>
      </x:c>
      <x:c r="G101" s="14" t="n">
        <x:v>130</x:v>
      </x:c>
      <x:c r="H101" s="14" t="n">
        <x:v>70</x:v>
      </x:c>
      <x:c r="I101" s="16"/>
      <x:c r="J101" s="9" t="str">
        <x:v>Hífen na fonte; verificar SKU</x:v>
      </x:c>
      <x:c r="K101" s="9" t="str">
        <x:v>62S</x:v>
      </x:c>
      <x:c r="L101" s="9" t="str">
        <x:v>Sem câmara</x:v>
      </x:c>
      <x:c r="M101" s="9" t="str">
        <x:v>Medida confirmada na fonte</x:v>
      </x:c>
      <x:c r="N101" s="9" t="str">
        <x:v>S042</x:v>
      </x:c>
      <x:c r="O101" s="9" t="str">
        <x:v>Única referência nesta ficha</x:v>
      </x:c>
      <x:c r="P101" s="9" t="str">
        <x:v>Pirelli Sport Demon. Não estender automaticamente a lotes anteriores.</x:v>
      </x:c>
      <x:c r="Q101" s="9" t="str">
        <x:v>M046</x:v>
      </x:c>
    </x:row>
    <x:row r="102" ht="48" customHeight="1">
      <x:c r="A102" s="15" t="n">
        <x:v>17</x:v>
      </x:c>
      <x:c r="B102" s="13" t="str">
        <x:v>130/70-17</x:v>
      </x:c>
      <x:c r="C102" s="10" t="str">
        <x:v>Traseiro</x:v>
      </x:c>
      <x:c r="D102" s="10" t="str">
        <x:v>Bajaj</x:v>
      </x:c>
      <x:c r="E102" s="10" t="str">
        <x:v>Dominar 250</x:v>
      </x:c>
      <x:c r="F102" s="10" t="str">
        <x:v>Produção anunciada em 30/04/2026</x:v>
      </x:c>
      <x:c r="G102" s="15" t="n">
        <x:v>130</x:v>
      </x:c>
      <x:c r="H102" s="15" t="n">
        <x:v>70</x:v>
      </x:c>
      <x:c r="I102" s="17"/>
      <x:c r="J102" s="10" t="str">
        <x:v>Hífen na fonte; verificar SKU</x:v>
      </x:c>
      <x:c r="K102" s="10" t="str">
        <x:v>62S</x:v>
      </x:c>
      <x:c r="L102" s="10" t="str">
        <x:v>Sem câmara</x:v>
      </x:c>
      <x:c r="M102" s="10" t="str">
        <x:v>Medida confirmada na fonte</x:v>
      </x:c>
      <x:c r="N102" s="10" t="str">
        <x:v>S042</x:v>
      </x:c>
      <x:c r="O102" s="10" t="str">
        <x:v>Única referência nesta ficha</x:v>
      </x:c>
      <x:c r="P102" s="10" t="str">
        <x:v>Pirelli Sport Demon. Não estender automaticamente a lotes anteriores.</x:v>
      </x:c>
      <x:c r="Q102" s="10" t="str">
        <x:v>M047</x:v>
      </x:c>
    </x:row>
    <x:row r="103" ht="48" customHeight="1">
      <x:c r="A103" s="14" t="n">
        <x:v>17</x:v>
      </x:c>
      <x:c r="B103" s="12" t="str">
        <x:v>130/70R17</x:v>
      </x:c>
      <x:c r="C103" s="9" t="str">
        <x:v>Traseiro</x:v>
      </x:c>
      <x:c r="D103" s="9" t="str">
        <x:v>Haojue</x:v>
      </x:c>
      <x:c r="E103" s="9" t="str">
        <x:v>DR 160</x:v>
      </x:c>
      <x:c r="F103" s="9" t="str">
        <x:v>Não delimitado na fonte</x:v>
      </x:c>
      <x:c r="G103" s="14" t="n">
        <x:v>130</x:v>
      </x:c>
      <x:c r="H103" s="14" t="n">
        <x:v>70</x:v>
      </x:c>
      <x:c r="I103" s="16"/>
      <x:c r="J103" s="9" t="str">
        <x:v>Radial (R)</x:v>
      </x:c>
      <x:c r="K103" s="9" t="str">
        <x:v>62S</x:v>
      </x:c>
      <x:c r="L103" s="9" t="str">
        <x:v>Sem câmara</x:v>
      </x:c>
      <x:c r="M103" s="11" t="str">
        <x:v>Revisar construção no manual</x:v>
      </x:c>
      <x:c r="N103" s="11" t="str">
        <x:v>S069</x:v>
      </x:c>
      <x:c r="O103" s="9" t="str">
        <x:v>Única referência nesta ficha</x:v>
      </x:c>
      <x:c r="P103" s="9" t="str">
        <x:v>Ficha online imprime R nos dois eixos. Preservado literalmente; confirmar no manual antes de classificar SKU como radial.</x:v>
      </x:c>
      <x:c r="Q103" s="9" t="str">
        <x:v>M074</x:v>
      </x:c>
    </x:row>
    <x:row r="104" ht="48" customHeight="1">
      <x:c r="A104" s="15" t="n">
        <x:v>17</x:v>
      </x:c>
      <x:c r="B104" s="13" t="str">
        <x:v>130/80-17</x:v>
      </x:c>
      <x:c r="C104" s="10" t="str">
        <x:v>Traseiro</x:v>
      </x:c>
      <x:c r="D104" s="10" t="str">
        <x:v>Dafra / SYM</x:v>
      </x:c>
      <x:c r="E104" s="10" t="str">
        <x:v>NH 190</x:v>
      </x:c>
      <x:c r="F104" s="10" t="str">
        <x:v>Não delimitado na fonte</x:v>
      </x:c>
      <x:c r="G104" s="15" t="n">
        <x:v>130</x:v>
      </x:c>
      <x:c r="H104" s="15" t="n">
        <x:v>80</x:v>
      </x:c>
      <x:c r="I104" s="17"/>
      <x:c r="J104" s="10" t="str">
        <x:v>Hífen na fonte; verificar SKU</x:v>
      </x:c>
      <x:c r="K104" s="10" t="str">
        <x:v>65H</x:v>
      </x:c>
      <x:c r="L104" s="10" t="str">
        <x:v>ND</x:v>
      </x:c>
      <x:c r="M104" s="10" t="str">
        <x:v>Medida confirmada na fonte</x:v>
      </x:c>
      <x:c r="N104" s="10" t="str">
        <x:v>S066</x:v>
      </x:c>
      <x:c r="O104" s="10" t="str">
        <x:v>Única referência nesta ficha</x:v>
      </x:c>
      <x:c r="P104" s="10" t="str"/>
      <x:c r="Q104" s="10" t="str">
        <x:v>M071</x:v>
      </x:c>
    </x:row>
    <x:row r="105" ht="48" customHeight="1">
      <x:c r="A105" s="14" t="n">
        <x:v>17</x:v>
      </x:c>
      <x:c r="B105" s="12" t="str">
        <x:v>140/70-17</x:v>
      </x:c>
      <x:c r="C105" s="9" t="str">
        <x:v>Traseiro</x:v>
      </x:c>
      <x:c r="D105" s="9" t="str">
        <x:v>Royal Enfield</x:v>
      </x:c>
      <x:c r="E105" s="9" t="str">
        <x:v>Hunter 350</x:v>
      </x:c>
      <x:c r="F105" s="9" t="str">
        <x:v>Não delimitado na fonte</x:v>
      </x:c>
      <x:c r="G105" s="14" t="n">
        <x:v>140</x:v>
      </x:c>
      <x:c r="H105" s="14" t="n">
        <x:v>70</x:v>
      </x:c>
      <x:c r="I105" s="16"/>
      <x:c r="J105" s="9" t="str">
        <x:v>Hífen na fonte; verificar SKU</x:v>
      </x:c>
      <x:c r="K105" s="9" t="str">
        <x:v>66P</x:v>
      </x:c>
      <x:c r="L105" s="9" t="str">
        <x:v>ND</x:v>
      </x:c>
      <x:c r="M105" s="9" t="str">
        <x:v>Medida confirmada na fonte</x:v>
      </x:c>
      <x:c r="N105" s="9" t="str">
        <x:v>S044</x:v>
      </x:c>
      <x:c r="O105" s="9" t="str">
        <x:v>Única referência nesta ficha</x:v>
      </x:c>
      <x:c r="P105" s="9" t="str"/>
      <x:c r="Q105" s="9" t="str">
        <x:v>M051</x:v>
      </x:c>
    </x:row>
    <x:row r="106" ht="48" customHeight="1">
      <x:c r="A106" s="15" t="n">
        <x:v>17</x:v>
      </x:c>
      <x:c r="B106" s="13" t="str">
        <x:v>140/70-17</x:v>
      </x:c>
      <x:c r="C106" s="10" t="str">
        <x:v>Traseiro</x:v>
      </x:c>
      <x:c r="D106" s="10" t="str">
        <x:v>Royal Enfield</x:v>
      </x:c>
      <x:c r="E106" s="10" t="str">
        <x:v>Meteor 350 — rodas de liga</x:v>
      </x:c>
      <x:c r="F106" s="10" t="str">
        <x:v>Não delimitado na fonte</x:v>
      </x:c>
      <x:c r="G106" s="15" t="n">
        <x:v>140</x:v>
      </x:c>
      <x:c r="H106" s="15" t="n">
        <x:v>70</x:v>
      </x:c>
      <x:c r="I106" s="17"/>
      <x:c r="J106" s="10" t="str">
        <x:v>Hífen na fonte; verificar SKU</x:v>
      </x:c>
      <x:c r="K106" s="10" t="str">
        <x:v>66P</x:v>
      </x:c>
      <x:c r="L106" s="10" t="str">
        <x:v>Sem câmara</x:v>
      </x:c>
      <x:c r="M106" s="10" t="str">
        <x:v>Medida confirmada na fonte</x:v>
      </x:c>
      <x:c r="N106" s="10" t="str">
        <x:v>S045</x:v>
      </x:c>
      <x:c r="O106" s="10" t="str">
        <x:v>Única referência nesta ficha</x:v>
      </x:c>
      <x:c r="P106" s="10" t="str">
        <x:v>Ficha especifica rodas de liga. Não generalizar montagem para versão de rodas raiadas.</x:v>
      </x:c>
      <x:c r="Q106" s="10" t="str">
        <x:v>M052</x:v>
      </x:c>
    </x:row>
    <x:row r="107" ht="48" customHeight="1">
      <x:c r="A107" s="14" t="n">
        <x:v>17</x:v>
      </x:c>
      <x:c r="B107" s="12" t="str">
        <x:v>140/70-17</x:v>
      </x:c>
      <x:c r="C107" s="9" t="str">
        <x:v>Traseiro</x:v>
      </x:c>
      <x:c r="D107" s="9" t="str">
        <x:v>Yamaha</x:v>
      </x:c>
      <x:c r="E107" s="9" t="str">
        <x:v>FZ25</x:v>
      </x:c>
      <x:c r="F107" s="9" t="str">
        <x:v>2022</x:v>
      </x:c>
      <x:c r="G107" s="14" t="n">
        <x:v>140</x:v>
      </x:c>
      <x:c r="H107" s="14" t="n">
        <x:v>70</x:v>
      </x:c>
      <x:c r="I107" s="16"/>
      <x:c r="J107" s="9" t="str">
        <x:v>Hífen na fonte; verificar SKU</x:v>
      </x:c>
      <x:c r="K107" s="9" t="str">
        <x:v>ND</x:v>
      </x:c>
      <x:c r="L107" s="9" t="str">
        <x:v>ND</x:v>
      </x:c>
      <x:c r="M107" s="11" t="str">
        <x:v>Reposição — confirmar manual</x:v>
      </x:c>
      <x:c r="N107" s="11" t="str">
        <x:v>S023</x:v>
      </x:c>
      <x:c r="O107" s="9" t="str">
        <x:v>Única referência nesta ficha</x:v>
      </x:c>
      <x:c r="P107" s="9" t="str">
        <x:v>Medidas do seletor Michelin. Índices do seletor não tratados como mínimos OEM; conferir manual brasileiro antes de aprovar SKU.</x:v>
      </x:c>
      <x:c r="Q107" s="9" t="str">
        <x:v>M025</x:v>
      </x:c>
    </x:row>
    <x:row r="108" ht="48" customHeight="1">
      <x:c r="A108" s="15" t="n">
        <x:v>17</x:v>
      </x:c>
      <x:c r="B108" s="13" t="str">
        <x:v>140/70-17</x:v>
      </x:c>
      <x:c r="C108" s="10" t="str">
        <x:v>Traseiro</x:v>
      </x:c>
      <x:c r="D108" s="10" t="str">
        <x:v>Yamaha</x:v>
      </x:c>
      <x:c r="E108" s="10" t="str">
        <x:v>R15 ABS</x:v>
      </x:c>
      <x:c r="F108" s="10" t="str">
        <x:v>2026</x:v>
      </x:c>
      <x:c r="G108" s="15" t="n">
        <x:v>140</x:v>
      </x:c>
      <x:c r="H108" s="15" t="n">
        <x:v>70</x:v>
      </x:c>
      <x:c r="I108" s="17"/>
      <x:c r="J108" s="10" t="str">
        <x:v>Hífen na fonte; verificar SKU</x:v>
      </x:c>
      <x:c r="K108" s="10" t="str">
        <x:v>ND</x:v>
      </x:c>
      <x:c r="L108" s="10" t="str">
        <x:v>ND</x:v>
      </x:c>
      <x:c r="M108" s="10" t="str">
        <x:v>Medida confirmada na fonte</x:v>
      </x:c>
      <x:c r="N108" s="10" t="str">
        <x:v>S024</x:v>
      </x:c>
      <x:c r="O108" s="10" t="str">
        <x:v>Única referência nesta ficha</x:v>
      </x:c>
      <x:c r="P108" s="10" t="str"/>
      <x:c r="Q108" s="10" t="str">
        <x:v>M026</x:v>
      </x:c>
    </x:row>
    <x:row r="109" ht="48" customHeight="1">
      <x:c r="A109" s="14" t="n">
        <x:v>17</x:v>
      </x:c>
      <x:c r="B109" s="12" t="str">
        <x:v>140/70R17</x:v>
      </x:c>
      <x:c r="C109" s="9" t="str">
        <x:v>Traseiro</x:v>
      </x:c>
      <x:c r="D109" s="9" t="str">
        <x:v>Bajaj</x:v>
      </x:c>
      <x:c r="E109" s="9" t="str">
        <x:v>Dominar NS400Z</x:v>
      </x:c>
      <x:c r="F109" s="9" t="str">
        <x:v>Produção anunciada em 30/04/2026</x:v>
      </x:c>
      <x:c r="G109" s="14" t="n">
        <x:v>140</x:v>
      </x:c>
      <x:c r="H109" s="14" t="n">
        <x:v>70</x:v>
      </x:c>
      <x:c r="I109" s="16"/>
      <x:c r="J109" s="9" t="str">
        <x:v>Radial (R)</x:v>
      </x:c>
      <x:c r="K109" s="9" t="str">
        <x:v>66H</x:v>
      </x:c>
      <x:c r="L109" s="9" t="str">
        <x:v>Sem câmara</x:v>
      </x:c>
      <x:c r="M109" s="9" t="str">
        <x:v>Medida confirmada na fonte</x:v>
      </x:c>
      <x:c r="N109" s="9" t="str">
        <x:v>S042</x:v>
      </x:c>
      <x:c r="O109" s="9" t="str">
        <x:v>Única referência nesta ficha</x:v>
      </x:c>
      <x:c r="P109" s="9" t="str">
        <x:v>Metzeler Sportec M9 RR. Traseiro diferente da Dominar 400.</x:v>
      </x:c>
      <x:c r="Q109" s="9" t="str">
        <x:v>M049</x:v>
      </x:c>
    </x:row>
    <x:row r="110" ht="48" customHeight="1">
      <x:c r="A110" s="15" t="n">
        <x:v>17</x:v>
      </x:c>
      <x:c r="B110" s="13" t="str">
        <x:v>140/70R17</x:v>
      </x:c>
      <x:c r="C110" s="10" t="str">
        <x:v>Traseiro</x:v>
      </x:c>
      <x:c r="D110" s="10" t="str">
        <x:v>Honda</x:v>
      </x:c>
      <x:c r="E110" s="10" t="str">
        <x:v>CB 250F Twister ABS / CBS</x:v>
      </x:c>
      <x:c r="F110" s="10" t="str">
        <x:v>2019</x:v>
      </x:c>
      <x:c r="G110" s="15" t="n">
        <x:v>140</x:v>
      </x:c>
      <x:c r="H110" s="15" t="n">
        <x:v>70</x:v>
      </x:c>
      <x:c r="I110" s="17"/>
      <x:c r="J110" s="10" t="str">
        <x:v>Radial (R)</x:v>
      </x:c>
      <x:c r="K110" s="10" t="str">
        <x:v>66H</x:v>
      </x:c>
      <x:c r="L110" s="10" t="str">
        <x:v>Sem câmara</x:v>
      </x:c>
      <x:c r="M110" s="10" t="str">
        <x:v>Medida confirmada na fonte</x:v>
      </x:c>
      <x:c r="N110" s="10" t="str">
        <x:v>S006</x:v>
      </x:c>
      <x:c r="O110" s="10" t="str">
        <x:v>Única referência nesta ficha</x:v>
      </x:c>
      <x:c r="P110" s="10" t="str">
        <x:v>Pirelli Diablo Rosso II; PDF p.98. Manter o R da construção radial.</x:v>
      </x:c>
      <x:c r="Q110" s="10" t="str">
        <x:v>M007</x:v>
      </x:c>
    </x:row>
    <x:row r="111" ht="48" customHeight="1">
      <x:c r="A111" s="14" t="n">
        <x:v>17</x:v>
      </x:c>
      <x:c r="B111" s="12" t="str">
        <x:v>140/80R17</x:v>
      </x:c>
      <x:c r="C111" s="9" t="str">
        <x:v>Traseiro</x:v>
      </x:c>
      <x:c r="D111" s="9" t="str">
        <x:v>Royal Enfield</x:v>
      </x:c>
      <x:c r="E111" s="9" t="str">
        <x:v>Bear 650</x:v>
      </x:c>
      <x:c r="F111" s="9" t="str">
        <x:v>Não delimitado na fonte</x:v>
      </x:c>
      <x:c r="G111" s="14" t="n">
        <x:v>140</x:v>
      </x:c>
      <x:c r="H111" s="14" t="n">
        <x:v>80</x:v>
      </x:c>
      <x:c r="I111" s="16"/>
      <x:c r="J111" s="9" t="str">
        <x:v>Radial (R)</x:v>
      </x:c>
      <x:c r="K111" s="9" t="str">
        <x:v>69H</x:v>
      </x:c>
      <x:c r="L111" s="9" t="str">
        <x:v>ND</x:v>
      </x:c>
      <x:c r="M111" s="9" t="str">
        <x:v>Medida confirmada na fonte</x:v>
      </x:c>
      <x:c r="N111" s="9" t="str">
        <x:v>S049</x:v>
      </x:c>
      <x:c r="O111" s="9" t="str">
        <x:v>Única referência nesta ficha</x:v>
      </x:c>
      <x:c r="P111" s="9" t="str">
        <x:v>MRF Nylorex F / X. Rodas raiadas; não inferir uso de câmara apenas pela roda.</x:v>
      </x:c>
      <x:c r="Q111" s="9" t="str">
        <x:v>M056</x:v>
      </x:c>
    </x:row>
    <x:row r="112" ht="48" customHeight="1">
      <x:c r="A112" s="15" t="n">
        <x:v>17</x:v>
      </x:c>
      <x:c r="B112" s="13" t="str">
        <x:v>140/80R17</x:v>
      </x:c>
      <x:c r="C112" s="10" t="str">
        <x:v>Traseiro</x:v>
      </x:c>
      <x:c r="D112" s="10" t="str">
        <x:v>Royal Enfield</x:v>
      </x:c>
      <x:c r="E112" s="10" t="str">
        <x:v>Himalayan 450</x:v>
      </x:c>
      <x:c r="F112" s="10" t="str">
        <x:v>Não delimitado na fonte</x:v>
      </x:c>
      <x:c r="G112" s="15" t="n">
        <x:v>140</x:v>
      </x:c>
      <x:c r="H112" s="15" t="n">
        <x:v>80</x:v>
      </x:c>
      <x:c r="I112" s="17"/>
      <x:c r="J112" s="10" t="str">
        <x:v>Radial (R)</x:v>
      </x:c>
      <x:c r="K112" s="10" t="str">
        <x:v>69H</x:v>
      </x:c>
      <x:c r="L112" s="10" t="str">
        <x:v>Depende da versão do aro</x:v>
      </x:c>
      <x:c r="M112" s="10" t="str">
        <x:v>Medida confirmada na fonte</x:v>
      </x:c>
      <x:c r="N112" s="10" t="str">
        <x:v>S051</x:v>
      </x:c>
      <x:c r="O112" s="10" t="str">
        <x:v>Única referência nesta ficha</x:v>
      </x:c>
      <x:c r="P112" s="10" t="str">
        <x:v>PDF p.17. Montagem depende do aro; conferir versão antes de escolher câmara/sem câmara.</x:v>
      </x:c>
      <x:c r="Q112" s="10" t="str">
        <x:v>M058</x:v>
      </x:c>
    </x:row>
    <x:row r="113" ht="48" customHeight="1">
      <x:c r="A113" s="14" t="n">
        <x:v>17</x:v>
      </x:c>
      <x:c r="B113" s="12" t="str">
        <x:v>140/80R17</x:v>
      </x:c>
      <x:c r="C113" s="9" t="str">
        <x:v>Traseiro</x:v>
      </x:c>
      <x:c r="D113" s="9" t="str">
        <x:v>Triumph</x:v>
      </x:c>
      <x:c r="E113" s="9" t="str">
        <x:v>Scrambler 400 X</x:v>
      </x:c>
      <x:c r="F113" s="9" t="str">
        <x:v>Geração de lançamento 2024</x:v>
      </x:c>
      <x:c r="G113" s="14" t="n">
        <x:v>140</x:v>
      </x:c>
      <x:c r="H113" s="14" t="n">
        <x:v>80</x:v>
      </x:c>
      <x:c r="I113" s="16"/>
      <x:c r="J113" s="9" t="str">
        <x:v>Radial (R)</x:v>
      </x:c>
      <x:c r="K113" s="9" t="str">
        <x:v>69V</x:v>
      </x:c>
      <x:c r="L113" s="9" t="str">
        <x:v>ND</x:v>
      </x:c>
      <x:c r="M113" s="9" t="str">
        <x:v>Medida confirmada na fonte</x:v>
      </x:c>
      <x:c r="N113" s="9" t="str">
        <x:v>S076</x:v>
      </x:c>
      <x:c r="O113" s="9" t="str">
        <x:v>Única referência nesta ficha</x:v>
      </x:c>
      <x:c r="P113" s="9" t="str">
        <x:v>Manual brasileiro, p.178. Dianteiro com hífen; não copiar R do comunicado de lançamento.</x:v>
      </x:c>
      <x:c r="Q113" s="9" t="str">
        <x:v>M082</x:v>
      </x:c>
    </x:row>
    <x:row r="114" ht="48" customHeight="1">
      <x:c r="A114" s="15" t="n">
        <x:v>17</x:v>
      </x:c>
      <x:c r="B114" s="13" t="str">
        <x:v>150/60R17</x:v>
      </x:c>
      <x:c r="C114" s="10" t="str">
        <x:v>Traseiro</x:v>
      </x:c>
      <x:c r="D114" s="10" t="str">
        <x:v>Bajaj</x:v>
      </x:c>
      <x:c r="E114" s="10" t="str">
        <x:v>Dominar 400</x:v>
      </x:c>
      <x:c r="F114" s="10" t="str">
        <x:v>Produção anunciada em 30/04/2026</x:v>
      </x:c>
      <x:c r="G114" s="15" t="n">
        <x:v>150</x:v>
      </x:c>
      <x:c r="H114" s="15" t="n">
        <x:v>60</x:v>
      </x:c>
      <x:c r="I114" s="17"/>
      <x:c r="J114" s="10" t="str">
        <x:v>Radial (R)</x:v>
      </x:c>
      <x:c r="K114" s="10" t="str">
        <x:v>66H</x:v>
      </x:c>
      <x:c r="L114" s="10" t="str">
        <x:v>Sem câmara</x:v>
      </x:c>
      <x:c r="M114" s="10" t="str">
        <x:v>Medida confirmada na fonte</x:v>
      </x:c>
      <x:c r="N114" s="10" t="str">
        <x:v>S042</x:v>
      </x:c>
      <x:c r="O114" s="10" t="str">
        <x:v>Única referência nesta ficha</x:v>
      </x:c>
      <x:c r="P114" s="10" t="str">
        <x:v>Pirelli Diablo Rosso III.</x:v>
      </x:c>
      <x:c r="Q114" s="10" t="str">
        <x:v>M048</x:v>
      </x:c>
    </x:row>
    <x:row r="115" ht="48" customHeight="1">
      <x:c r="A115" s="14" t="n">
        <x:v>17</x:v>
      </x:c>
      <x:c r="B115" s="12" t="str">
        <x:v>150/60R17</x:v>
      </x:c>
      <x:c r="C115" s="9" t="str">
        <x:v>Traseiro</x:v>
      </x:c>
      <x:c r="D115" s="9" t="str">
        <x:v>Honda</x:v>
      </x:c>
      <x:c r="E115" s="9" t="str">
        <x:v>CB 300F Twister ABS / CBS</x:v>
      </x:c>
      <x:c r="F115" s="9" t="str">
        <x:v>2025–2026</x:v>
      </x:c>
      <x:c r="G115" s="14" t="n">
        <x:v>150</x:v>
      </x:c>
      <x:c r="H115" s="14" t="n">
        <x:v>60</x:v>
      </x:c>
      <x:c r="I115" s="16"/>
      <x:c r="J115" s="9" t="str">
        <x:v>Radial (R)</x:v>
      </x:c>
      <x:c r="K115" s="9" t="str">
        <x:v>66H</x:v>
      </x:c>
      <x:c r="L115" s="9" t="str">
        <x:v>ND</x:v>
      </x:c>
      <x:c r="M115" s="9" t="str">
        <x:v>Medida confirmada na fonte</x:v>
      </x:c>
      <x:c r="N115" s="9" t="str">
        <x:v>S007</x:v>
      </x:c>
      <x:c r="O115" s="9" t="str">
        <x:v>Única referência nesta ficha</x:v>
      </x:c>
      <x:c r="P115" s="9" t="str">
        <x:v>Não herdar 140/70R17 da CB 250F. Aplicação traseira é 150/60R17.</x:v>
      </x:c>
      <x:c r="Q115" s="9" t="str">
        <x:v>M008</x:v>
      </x:c>
    </x:row>
    <x:row r="116" ht="48" customHeight="1">
      <x:c r="A116" s="15" t="n">
        <x:v>17</x:v>
      </x:c>
      <x:c r="B116" s="13" t="str">
        <x:v>150/60R17</x:v>
      </x:c>
      <x:c r="C116" s="10" t="str">
        <x:v>Traseiro</x:v>
      </x:c>
      <x:c r="D116" s="10" t="str">
        <x:v>Triumph</x:v>
      </x:c>
      <x:c r="E116" s="10" t="str">
        <x:v>Speed 400</x:v>
      </x:c>
      <x:c r="F116" s="10" t="str">
        <x:v>Geração de lançamento 2024</x:v>
      </x:c>
      <x:c r="G116" s="15" t="n">
        <x:v>150</x:v>
      </x:c>
      <x:c r="H116" s="15" t="n">
        <x:v>60</x:v>
      </x:c>
      <x:c r="I116" s="17"/>
      <x:c r="J116" s="10" t="str">
        <x:v>Radial (R)</x:v>
      </x:c>
      <x:c r="K116" s="10" t="str">
        <x:v>66H</x:v>
      </x:c>
      <x:c r="L116" s="10" t="str">
        <x:v>ND</x:v>
      </x:c>
      <x:c r="M116" s="10" t="str">
        <x:v>Medida confirmada na fonte</x:v>
      </x:c>
      <x:c r="N116" s="10" t="str">
        <x:v>S076</x:v>
      </x:c>
      <x:c r="O116" s="10" t="str">
        <x:v>Única referência nesta ficha</x:v>
      </x:c>
      <x:c r="P116" s="10" t="str">
        <x:v>Manual brasileiro, p.178.</x:v>
      </x:c>
      <x:c r="Q116" s="10" t="str">
        <x:v>M081</x:v>
      </x:c>
    </x:row>
    <x:row r="117" ht="48" customHeight="1">
      <x:c r="A117" s="14" t="n">
        <x:v>17</x:v>
      </x:c>
      <x:c r="B117" s="12" t="str">
        <x:v>150/70R17</x:v>
      </x:c>
      <x:c r="C117" s="9" t="str">
        <x:v>Traseiro</x:v>
      </x:c>
      <x:c r="D117" s="9" t="str">
        <x:v>Royal Enfield</x:v>
      </x:c>
      <x:c r="E117" s="9" t="str">
        <x:v>Shotgun 650</x:v>
      </x:c>
      <x:c r="F117" s="9" t="str">
        <x:v>Não delimitado na fonte</x:v>
      </x:c>
      <x:c r="G117" s="14" t="n">
        <x:v>150</x:v>
      </x:c>
      <x:c r="H117" s="14" t="n">
        <x:v>70</x:v>
      </x:c>
      <x:c r="I117" s="16"/>
      <x:c r="J117" s="9" t="str">
        <x:v>Radial (R)</x:v>
      </x:c>
      <x:c r="K117" s="9" t="str">
        <x:v>69H</x:v>
      </x:c>
      <x:c r="L117" s="9" t="str">
        <x:v>Sem câmara</x:v>
      </x:c>
      <x:c r="M117" s="9" t="str">
        <x:v>Medida confirmada na fonte</x:v>
      </x:c>
      <x:c r="N117" s="9" t="str">
        <x:v>S047</x:v>
      </x:c>
      <x:c r="O117" s="9" t="str">
        <x:v>Única referência nesta ficha</x:v>
      </x:c>
      <x:c r="P117" s="9" t="str">
        <x:v>Ficha específica Brasil, p.2. Dianteiro aro 18; não importar divergência de PDF francês.</x:v>
      </x:c>
      <x:c r="Q117" s="9" t="str">
        <x:v>M054</x:v>
      </x:c>
    </x:row>
    <x:row r="118" ht="48" customHeight="1">
      <x:c r="A118" s="15" t="n">
        <x:v>17</x:v>
      </x:c>
      <x:c r="B118" s="13" t="str">
        <x:v>150/70R17</x:v>
      </x:c>
      <x:c r="C118" s="10" t="str">
        <x:v>Traseiro</x:v>
      </x:c>
      <x:c r="D118" s="10" t="str">
        <x:v>Suzuki</x:v>
      </x:c>
      <x:c r="E118" s="10" t="str">
        <x:v>V-Strom 650A / 650XT</x:v>
      </x:c>
      <x:c r="F118" s="10" t="str">
        <x:v>Não delimitado na fonte</x:v>
      </x:c>
      <x:c r="G118" s="15" t="n">
        <x:v>150</x:v>
      </x:c>
      <x:c r="H118" s="15" t="n">
        <x:v>70</x:v>
      </x:c>
      <x:c r="I118" s="17"/>
      <x:c r="J118" s="10" t="str">
        <x:v>Radial (R)</x:v>
      </x:c>
      <x:c r="K118" s="10" t="str">
        <x:v>69H</x:v>
      </x:c>
      <x:c r="L118" s="10" t="str">
        <x:v>Sem câmara</x:v>
      </x:c>
      <x:c r="M118" s="10" t="str">
        <x:v>Medida confirmada na fonte</x:v>
      </x:c>
      <x:c r="N118" s="10" t="str">
        <x:v>S039</x:v>
      </x:c>
      <x:c r="O118" s="10" t="str">
        <x:v>Única referência nesta ficha</x:v>
      </x:c>
      <x:c r="P118" s="10" t="str"/>
      <x:c r="Q118" s="10" t="str">
        <x:v>M041</x:v>
      </x:c>
    </x:row>
    <x:row r="119" ht="48" customHeight="1">
      <x:c r="A119" s="14" t="n">
        <x:v>17</x:v>
      </x:c>
      <x:c r="B119" s="12" t="str">
        <x:v>150/70R17</x:v>
      </x:c>
      <x:c r="C119" s="9" t="str">
        <x:v>Traseiro</x:v>
      </x:c>
      <x:c r="D119" s="9" t="str">
        <x:v>Suzuki</x:v>
      </x:c>
      <x:c r="E119" s="9" t="str">
        <x:v>V-Strom 800DE</x:v>
      </x:c>
      <x:c r="F119" s="9" t="str">
        <x:v>Não delimitado na fonte</x:v>
      </x:c>
      <x:c r="G119" s="14" t="n">
        <x:v>150</x:v>
      </x:c>
      <x:c r="H119" s="14" t="n">
        <x:v>70</x:v>
      </x:c>
      <x:c r="I119" s="16"/>
      <x:c r="J119" s="9" t="str">
        <x:v>Radial (R)</x:v>
      </x:c>
      <x:c r="K119" s="9" t="str">
        <x:v>ND</x:v>
      </x:c>
      <x:c r="L119" s="9" t="str">
        <x:v>Com câmara</x:v>
      </x:c>
      <x:c r="M119" s="9" t="str">
        <x:v>Medida confirmada na fonte</x:v>
      </x:c>
      <x:c r="N119" s="9" t="str">
        <x:v>S041</x:v>
      </x:c>
      <x:c r="O119" s="9" t="str">
        <x:v>Única referência nesta ficha</x:v>
      </x:c>
      <x:c r="P119" s="9" t="str">
        <x:v>Ficha brasileira declara câmara nos dois eixos, inclusive no traseiro radial.</x:v>
      </x:c>
      <x:c r="Q119" s="9" t="str">
        <x:v>M043</x:v>
      </x:c>
    </x:row>
    <x:row r="120" ht="48" customHeight="1">
      <x:c r="A120" s="15" t="n">
        <x:v>17</x:v>
      </x:c>
      <x:c r="B120" s="13" t="str">
        <x:v>150/70R17</x:v>
      </x:c>
      <x:c r="C120" s="10" t="str">
        <x:v>Traseiro</x:v>
      </x:c>
      <x:c r="D120" s="10" t="str">
        <x:v>Triumph</x:v>
      </x:c>
      <x:c r="E120" s="10" t="str">
        <x:v>Scrambler 1200 X / XE</x:v>
      </x:c>
      <x:c r="F120" s="10" t="str">
        <x:v>Não delimitado na fonte</x:v>
      </x:c>
      <x:c r="G120" s="15" t="n">
        <x:v>150</x:v>
      </x:c>
      <x:c r="H120" s="15" t="n">
        <x:v>70</x:v>
      </x:c>
      <x:c r="I120" s="17"/>
      <x:c r="J120" s="10" t="str">
        <x:v>Radial (R)</x:v>
      </x:c>
      <x:c r="K120" s="10" t="str">
        <x:v>ND</x:v>
      </x:c>
      <x:c r="L120" s="10" t="str">
        <x:v>ND</x:v>
      </x:c>
      <x:c r="M120" s="10" t="str">
        <x:v>Medida confirmada na fonte</x:v>
      </x:c>
      <x:c r="N120" s="10" t="str">
        <x:v>S077</x:v>
      </x:c>
      <x:c r="O120" s="10" t="str">
        <x:v>Única referência nesta ficha</x:v>
      </x:c>
      <x:c r="P120" s="10" t="str"/>
      <x:c r="Q120" s="10" t="str">
        <x:v>M083</x:v>
      </x:c>
    </x:row>
    <x:row r="121" ht="48" customHeight="1">
      <x:c r="A121" s="14" t="n">
        <x:v>17</x:v>
      </x:c>
      <x:c r="B121" s="12" t="str">
        <x:v>160/60R17</x:v>
      </x:c>
      <x:c r="C121" s="9" t="str">
        <x:v>Traseiro</x:v>
      </x:c>
      <x:c r="D121" s="9" t="str">
        <x:v>Kawasaki</x:v>
      </x:c>
      <x:c r="E121" s="9" t="str">
        <x:v>Vulcan S Café</x:v>
      </x:c>
      <x:c r="F121" s="9" t="str">
        <x:v>2026</x:v>
      </x:c>
      <x:c r="G121" s="14" t="n">
        <x:v>160</x:v>
      </x:c>
      <x:c r="H121" s="14" t="n">
        <x:v>60</x:v>
      </x:c>
      <x:c r="I121" s="16"/>
      <x:c r="J121" s="9" t="str">
        <x:v>Radial (R)</x:v>
      </x:c>
      <x:c r="K121" s="9" t="str">
        <x:v>69H</x:v>
      </x:c>
      <x:c r="L121" s="9" t="str">
        <x:v>ND</x:v>
      </x:c>
      <x:c r="M121" s="9" t="str">
        <x:v>Medida confirmada na fonte</x:v>
      </x:c>
      <x:c r="N121" s="9" t="str">
        <x:v>S072</x:v>
      </x:c>
      <x:c r="O121" s="9" t="str">
        <x:v>Única referência nesta ficha</x:v>
      </x:c>
      <x:c r="P121" s="9" t="str"/>
      <x:c r="Q121" s="9" t="str">
        <x:v>M077</x:v>
      </x:c>
    </x:row>
    <x:row r="122" ht="48" customHeight="1">
      <x:c r="A122" s="15" t="n">
        <x:v>17</x:v>
      </x:c>
      <x:c r="B122" s="13" t="str">
        <x:v>160/60R17</x:v>
      </x:c>
      <x:c r="C122" s="10" t="str">
        <x:v>Traseiro</x:v>
      </x:c>
      <x:c r="D122" s="10" t="str">
        <x:v>Royal Enfield</x:v>
      </x:c>
      <x:c r="E122" s="10" t="str">
        <x:v>Guerrilla 450</x:v>
      </x:c>
      <x:c r="F122" s="10" t="str">
        <x:v>Não delimitado na fonte</x:v>
      </x:c>
      <x:c r="G122" s="15" t="n">
        <x:v>160</x:v>
      </x:c>
      <x:c r="H122" s="15" t="n">
        <x:v>60</x:v>
      </x:c>
      <x:c r="I122" s="17"/>
      <x:c r="J122" s="10" t="str">
        <x:v>Radial (R)</x:v>
      </x:c>
      <x:c r="K122" s="10" t="str">
        <x:v>ND</x:v>
      </x:c>
      <x:c r="L122" s="10" t="str">
        <x:v>Sem câmara</x:v>
      </x:c>
      <x:c r="M122" s="10" t="str">
        <x:v>Medida confirmada na fonte</x:v>
      </x:c>
      <x:c r="N122" s="10" t="str">
        <x:v>S048</x:v>
      </x:c>
      <x:c r="O122" s="10" t="str">
        <x:v>Única referência nesta ficha</x:v>
      </x:c>
      <x:c r="P122" s="10" t="str">
        <x:v>Medidas da ficha Brasil; montagem sem câmara confirmada na página brasileira do modelo. Índices pendentes.</x:v>
      </x:c>
      <x:c r="Q122" s="10" t="str">
        <x:v>M055</x:v>
      </x:c>
    </x:row>
    <x:row r="123" ht="48" customHeight="1">
      <x:c r="A123" s="14" t="n">
        <x:v>17</x:v>
      </x:c>
      <x:c r="B123" s="12" t="str">
        <x:v>160/60ZR17</x:v>
      </x:c>
      <x:c r="C123" s="9" t="str">
        <x:v>Traseiro</x:v>
      </x:c>
      <x:c r="D123" s="9" t="str">
        <x:v>Honda</x:v>
      </x:c>
      <x:c r="E123" s="9" t="str">
        <x:v>NC 750X</x:v>
      </x:c>
      <x:c r="F123" s="9" t="str">
        <x:v>2016</x:v>
      </x:c>
      <x:c r="G123" s="14" t="n">
        <x:v>160</x:v>
      </x:c>
      <x:c r="H123" s="14" t="n">
        <x:v>60</x:v>
      </x:c>
      <x:c r="I123" s="16"/>
      <x:c r="J123" s="9" t="str">
        <x:v>Radial (ZR)</x:v>
      </x:c>
      <x:c r="K123" s="9" t="str">
        <x:v>(69W)</x:v>
      </x:c>
      <x:c r="L123" s="9" t="str">
        <x:v>ND</x:v>
      </x:c>
      <x:c r="M123" s="9" t="str">
        <x:v>Medida confirmada na fonte</x:v>
      </x:c>
      <x:c r="N123" s="9" t="str">
        <x:v>S018</x:v>
      </x:c>
      <x:c r="O123" s="9" t="str">
        <x:v>Única referência nesta ficha</x:v>
      </x:c>
      <x:c r="P123" s="9" t="str">
        <x:v>PDF p.112; manter ZR e índice entre parênteses.</x:v>
      </x:c>
      <x:c r="Q123" s="9" t="str">
        <x:v>M020</x:v>
      </x:c>
    </x:row>
    <x:row r="124" ht="48" customHeight="1">
      <x:c r="A124" s="15" t="n">
        <x:v>17</x:v>
      </x:c>
      <x:c r="B124" s="13" t="str">
        <x:v>160/60ZR17</x:v>
      </x:c>
      <x:c r="C124" s="10" t="str">
        <x:v>Traseiro</x:v>
      </x:c>
      <x:c r="D124" s="10" t="str">
        <x:v>Kawasaki</x:v>
      </x:c>
      <x:c r="E124" s="10" t="str">
        <x:v>Z650</x:v>
      </x:c>
      <x:c r="F124" s="10" t="str">
        <x:v>2026</x:v>
      </x:c>
      <x:c r="G124" s="15" t="n">
        <x:v>160</x:v>
      </x:c>
      <x:c r="H124" s="15" t="n">
        <x:v>60</x:v>
      </x:c>
      <x:c r="I124" s="17"/>
      <x:c r="J124" s="10" t="str">
        <x:v>Radial (ZR)</x:v>
      </x:c>
      <x:c r="K124" s="10" t="str">
        <x:v>(69W)</x:v>
      </x:c>
      <x:c r="L124" s="10" t="str">
        <x:v>ND</x:v>
      </x:c>
      <x:c r="M124" s="10" t="str">
        <x:v>Medida confirmada na fonte</x:v>
      </x:c>
      <x:c r="N124" s="10" t="str">
        <x:v>S071</x:v>
      </x:c>
      <x:c r="O124" s="10" t="str">
        <x:v>Única referência nesta ficha</x:v>
      </x:c>
      <x:c r="P124" s="10" t="str"/>
      <x:c r="Q124" s="10" t="str">
        <x:v>M076</x:v>
      </x:c>
    </x:row>
    <x:row r="125" ht="48" customHeight="1">
      <x:c r="A125" s="14" t="n">
        <x:v>17</x:v>
      </x:c>
      <x:c r="B125" s="12" t="str">
        <x:v>170/60R17</x:v>
      </x:c>
      <x:c r="C125" s="9" t="str">
        <x:v>Traseiro</x:v>
      </x:c>
      <x:c r="D125" s="9" t="str">
        <x:v>BMW</x:v>
      </x:c>
      <x:c r="E125" s="9" t="str">
        <x:v>R 1250 GS</x:v>
      </x:c>
      <x:c r="F125" s="9" t="str">
        <x:v>Não delimitado na fonte</x:v>
      </x:c>
      <x:c r="G125" s="14" t="n">
        <x:v>170</x:v>
      </x:c>
      <x:c r="H125" s="14" t="n">
        <x:v>60</x:v>
      </x:c>
      <x:c r="I125" s="16"/>
      <x:c r="J125" s="9" t="str">
        <x:v>Radial (R)</x:v>
      </x:c>
      <x:c r="K125" s="9" t="str">
        <x:v>ND</x:v>
      </x:c>
      <x:c r="L125" s="9" t="str">
        <x:v>ND</x:v>
      </x:c>
      <x:c r="M125" s="9" t="str">
        <x:v>Medida confirmada na fonte</x:v>
      </x:c>
      <x:c r="N125" s="9" t="str">
        <x:v>S074</x:v>
      </x:c>
      <x:c r="O125" s="9" t="str">
        <x:v>Única referência nesta ficha</x:v>
      </x:c>
      <x:c r="P125" s="9" t="str"/>
      <x:c r="Q125" s="9" t="str">
        <x:v>M079</x:v>
      </x:c>
    </x:row>
    <x:row r="126" ht="48" customHeight="1">
      <x:c r="A126" s="15" t="n">
        <x:v>17</x:v>
      </x:c>
      <x:c r="B126" s="13" t="str">
        <x:v>180/55ZR17</x:v>
      </x:c>
      <x:c r="C126" s="10" t="str">
        <x:v>Traseiro</x:v>
      </x:c>
      <x:c r="D126" s="10" t="str">
        <x:v>Honda</x:v>
      </x:c>
      <x:c r="E126" s="10" t="str">
        <x:v>CB 650R E-Clutch</x:v>
      </x:c>
      <x:c r="F126" s="10" t="str">
        <x:v>2026</x:v>
      </x:c>
      <x:c r="G126" s="15" t="n">
        <x:v>180</x:v>
      </x:c>
      <x:c r="H126" s="15" t="n">
        <x:v>55</x:v>
      </x:c>
      <x:c r="I126" s="17"/>
      <x:c r="J126" s="10" t="str">
        <x:v>Radial (ZR)</x:v>
      </x:c>
      <x:c r="K126" s="10" t="str">
        <x:v>(73W)</x:v>
      </x:c>
      <x:c r="L126" s="10" t="str">
        <x:v>ND</x:v>
      </x:c>
      <x:c r="M126" s="10" t="str">
        <x:v>Medida confirmada na fonte</x:v>
      </x:c>
      <x:c r="N126" s="10" t="str">
        <x:v>S019</x:v>
      </x:c>
      <x:c r="O126" s="10" t="str">
        <x:v>Única referência nesta ficha</x:v>
      </x:c>
      <x:c r="P126" s="10" t="str"/>
      <x:c r="Q126" s="10" t="str">
        <x:v>M021</x:v>
      </x:c>
    </x:row>
    <x:row r="127" ht="48" customHeight="1">
      <x:c r="A127" s="14" t="n">
        <x:v>17</x:v>
      </x:c>
      <x:c r="B127" s="12" t="str">
        <x:v>180/55ZR17</x:v>
      </x:c>
      <x:c r="C127" s="9" t="str">
        <x:v>Traseiro</x:v>
      </x:c>
      <x:c r="D127" s="9" t="str">
        <x:v>Kawasaki</x:v>
      </x:c>
      <x:c r="E127" s="9" t="str">
        <x:v>Z900</x:v>
      </x:c>
      <x:c r="F127" s="9" t="str">
        <x:v>2026</x:v>
      </x:c>
      <x:c r="G127" s="14" t="n">
        <x:v>180</x:v>
      </x:c>
      <x:c r="H127" s="14" t="n">
        <x:v>55</x:v>
      </x:c>
      <x:c r="I127" s="16"/>
      <x:c r="J127" s="9" t="str">
        <x:v>Radial (ZR)</x:v>
      </x:c>
      <x:c r="K127" s="9" t="str">
        <x:v>(73W)</x:v>
      </x:c>
      <x:c r="L127" s="9" t="str">
        <x:v>ND</x:v>
      </x:c>
      <x:c r="M127" s="9" t="str">
        <x:v>Medida confirmada na fonte</x:v>
      </x:c>
      <x:c r="N127" s="9" t="str">
        <x:v>S073</x:v>
      </x:c>
      <x:c r="O127" s="9" t="str">
        <x:v>Única referência nesta ficha</x:v>
      </x:c>
      <x:c r="P127" s="9" t="str"/>
      <x:c r="Q127" s="9" t="str">
        <x:v>M078</x:v>
      </x:c>
    </x:row>
    <x:row r="128" ht="48" customHeight="1">
      <x:c r="A128" s="15" t="n">
        <x:v>17</x:v>
      </x:c>
      <x:c r="B128" s="13" t="str">
        <x:v>180/55ZR17</x:v>
      </x:c>
      <x:c r="C128" s="10" t="str">
        <x:v>Traseiro</x:v>
      </x:c>
      <x:c r="D128" s="10" t="str">
        <x:v>Suzuki</x:v>
      </x:c>
      <x:c r="E128" s="10" t="str">
        <x:v>GSX-8S</x:v>
      </x:c>
      <x:c r="F128" s="10" t="str">
        <x:v>2026</x:v>
      </x:c>
      <x:c r="G128" s="15" t="n">
        <x:v>180</x:v>
      </x:c>
      <x:c r="H128" s="15" t="n">
        <x:v>55</x:v>
      </x:c>
      <x:c r="I128" s="17"/>
      <x:c r="J128" s="10" t="str">
        <x:v>Radial (ZR)</x:v>
      </x:c>
      <x:c r="K128" s="10" t="str">
        <x:v>ND</x:v>
      </x:c>
      <x:c r="L128" s="10" t="str">
        <x:v>Sem câmara</x:v>
      </x:c>
      <x:c r="M128" s="10" t="str">
        <x:v>Medida confirmada na fonte</x:v>
      </x:c>
      <x:c r="N128" s="10" t="str">
        <x:v>S040</x:v>
      </x:c>
      <x:c r="O128" s="10" t="str">
        <x:v>Única referência nesta ficha</x:v>
      </x:c>
      <x:c r="P128" s="10" t="str">
        <x:v>Dunlop Sportmax Roadsport2; índices não preenchidos porque não constam no trecho da ficha consultado.</x:v>
      </x:c>
      <x:c r="Q128" s="10" t="str">
        <x:v>M042</x:v>
      </x:c>
    </x:row>
    <x:row r="129" ht="48" customHeight="1">
      <x:c r="A129" s="14" t="n">
        <x:v>17</x:v>
      </x:c>
      <x:c r="B129" s="12" t="str">
        <x:v>180/55ZR17</x:v>
      </x:c>
      <x:c r="C129" s="9" t="str">
        <x:v>Traseiro</x:v>
      </x:c>
      <x:c r="D129" s="9" t="str">
        <x:v>Yamaha</x:v>
      </x:c>
      <x:c r="E129" s="9" t="str">
        <x:v>MT-07</x:v>
      </x:c>
      <x:c r="F129" s="9" t="str">
        <x:v>2021 — Japão</x:v>
      </x:c>
      <x:c r="G129" s="14" t="n">
        <x:v>180</x:v>
      </x:c>
      <x:c r="H129" s="14" t="n">
        <x:v>55</x:v>
      </x:c>
      <x:c r="I129" s="16"/>
      <x:c r="J129" s="9" t="str">
        <x:v>Radial (ZR)</x:v>
      </x:c>
      <x:c r="K129" s="9" t="str">
        <x:v>(73W)</x:v>
      </x:c>
      <x:c r="L129" s="9" t="str">
        <x:v>Sem câmara</x:v>
      </x:c>
      <x:c r="M129" s="11" t="str">
        <x:v>Referência internacional</x:v>
      </x:c>
      <x:c r="N129" s="11" t="str">
        <x:v>S029</x:v>
      </x:c>
      <x:c r="O129" s="9" t="str">
        <x:v>Única referência nesta ficha</x:v>
      </x:c>
      <x:c r="P129" s="9" t="str"/>
      <x:c r="Q129" s="9" t="str">
        <x:v>M031</x:v>
      </x:c>
    </x:row>
    <x:row r="130" ht="48" customHeight="1">
      <x:c r="A130" s="15" t="n">
        <x:v>17</x:v>
      </x:c>
      <x:c r="B130" s="13" t="str">
        <x:v>190/50ZR17</x:v>
      </x:c>
      <x:c r="C130" s="10" t="str">
        <x:v>Traseiro</x:v>
      </x:c>
      <x:c r="D130" s="10" t="str">
        <x:v>Suzuki</x:v>
      </x:c>
      <x:c r="E130" s="10" t="str">
        <x:v>GSX-S1000</x:v>
      </x:c>
      <x:c r="F130" s="10" t="str">
        <x:v>Não delimitado na fonte</x:v>
      </x:c>
      <x:c r="G130" s="15" t="n">
        <x:v>190</x:v>
      </x:c>
      <x:c r="H130" s="15" t="n">
        <x:v>50</x:v>
      </x:c>
      <x:c r="I130" s="17"/>
      <x:c r="J130" s="10" t="str">
        <x:v>Radial (ZR)</x:v>
      </x:c>
      <x:c r="K130" s="10" t="str">
        <x:v>(73W)</x:v>
      </x:c>
      <x:c r="L130" s="10" t="str">
        <x:v>Sem câmara</x:v>
      </x:c>
      <x:c r="M130" s="10" t="str">
        <x:v>Medida confirmada na fonte</x:v>
      </x:c>
      <x:c r="N130" s="10" t="str">
        <x:v>S035</x:v>
      </x:c>
      <x:c r="O130" s="10" t="str">
        <x:v>Única referência nesta ficha</x:v>
      </x:c>
      <x:c r="P130" s="10" t="str"/>
      <x:c r="Q130" s="10" t="str">
        <x:v>M037</x:v>
      </x:c>
    </x:row>
    <x:row r="131" ht="48" customHeight="1">
      <x:c r="A131" s="14" t="n">
        <x:v>17</x:v>
      </x:c>
      <x:c r="B131" s="12" t="str">
        <x:v>190/50ZR17</x:v>
      </x:c>
      <x:c r="C131" s="9" t="str">
        <x:v>Traseiro</x:v>
      </x:c>
      <x:c r="D131" s="9" t="str">
        <x:v>Suzuki</x:v>
      </x:c>
      <x:c r="E131" s="9" t="str">
        <x:v>GSX-S1000 GT</x:v>
      </x:c>
      <x:c r="F131" s="9" t="str">
        <x:v>Não delimitado na fonte</x:v>
      </x:c>
      <x:c r="G131" s="14" t="n">
        <x:v>190</x:v>
      </x:c>
      <x:c r="H131" s="14" t="n">
        <x:v>50</x:v>
      </x:c>
      <x:c r="I131" s="16"/>
      <x:c r="J131" s="9" t="str">
        <x:v>Radial (ZR)</x:v>
      </x:c>
      <x:c r="K131" s="9" t="str">
        <x:v>(73W)</x:v>
      </x:c>
      <x:c r="L131" s="9" t="str">
        <x:v>Sem câmara</x:v>
      </x:c>
      <x:c r="M131" s="9" t="str">
        <x:v>Medida confirmada na fonte</x:v>
      </x:c>
      <x:c r="N131" s="9" t="str">
        <x:v>S036</x:v>
      </x:c>
      <x:c r="O131" s="9" t="str">
        <x:v>Única referência nesta ficha</x:v>
      </x:c>
      <x:c r="P131" s="9" t="str"/>
      <x:c r="Q131" s="9" t="str">
        <x:v>M038</x:v>
      </x:c>
    </x:row>
    <x:row r="132" ht="48" customHeight="1">
      <x:c r="A132" s="15" t="n">
        <x:v>17</x:v>
      </x:c>
      <x:c r="B132" s="13" t="str">
        <x:v>190/50ZR17</x:v>
      </x:c>
      <x:c r="C132" s="10" t="str">
        <x:v>Traseiro</x:v>
      </x:c>
      <x:c r="D132" s="10" t="str">
        <x:v>Suzuki</x:v>
      </x:c>
      <x:c r="E132" s="10" t="str">
        <x:v>GSX-S1000 GX</x:v>
      </x:c>
      <x:c r="F132" s="10" t="str">
        <x:v>Não delimitado na fonte</x:v>
      </x:c>
      <x:c r="G132" s="15" t="n">
        <x:v>190</x:v>
      </x:c>
      <x:c r="H132" s="15" t="n">
        <x:v>50</x:v>
      </x:c>
      <x:c r="I132" s="17"/>
      <x:c r="J132" s="10" t="str">
        <x:v>Radial (ZR)</x:v>
      </x:c>
      <x:c r="K132" s="10" t="str">
        <x:v>73W</x:v>
      </x:c>
      <x:c r="L132" s="10" t="str">
        <x:v>ND</x:v>
      </x:c>
      <x:c r="M132" s="10" t="str">
        <x:v>Medida confirmada na fonte</x:v>
      </x:c>
      <x:c r="N132" s="10" t="str">
        <x:v>S037</x:v>
      </x:c>
      <x:c r="O132" s="10" t="str">
        <x:v>Única referência nesta ficha</x:v>
      </x:c>
      <x:c r="P132" s="10" t="str">
        <x:v>Índices transcritos da ficha; conferir marcações completas no manual e no pneu.</x:v>
      </x:c>
      <x:c r="Q132" s="10" t="str">
        <x:v>M039</x:v>
      </x:c>
    </x:row>
    <x:row r="133" ht="48" customHeight="1">
      <x:c r="A133" s="14" t="n">
        <x:v>17</x:v>
      </x:c>
      <x:c r="B133" s="12" t="str">
        <x:v>190/55ZR17</x:v>
      </x:c>
      <x:c r="C133" s="9" t="str">
        <x:v>Traseiro</x:v>
      </x:c>
      <x:c r="D133" s="9" t="str">
        <x:v>Suzuki</x:v>
      </x:c>
      <x:c r="E133" s="9" t="str">
        <x:v>GSX-R1000R ABS</x:v>
      </x:c>
      <x:c r="F133" s="9" t="str">
        <x:v>Catálogo publicado em 2019</x:v>
      </x:c>
      <x:c r="G133" s="14" t="n">
        <x:v>190</x:v>
      </x:c>
      <x:c r="H133" s="14" t="n">
        <x:v>55</x:v>
      </x:c>
      <x:c r="I133" s="16"/>
      <x:c r="J133" s="9" t="str">
        <x:v>Radial (ZR)</x:v>
      </x:c>
      <x:c r="K133" s="9" t="str">
        <x:v>(75W)</x:v>
      </x:c>
      <x:c r="L133" s="9" t="str">
        <x:v>ND</x:v>
      </x:c>
      <x:c r="M133" s="9" t="str">
        <x:v>Medida confirmada na fonte</x:v>
      </x:c>
      <x:c r="N133" s="9" t="str">
        <x:v>S038</x:v>
      </x:c>
      <x:c r="O133" s="9" t="str">
        <x:v>Única referência nesta ficha</x:v>
      </x:c>
      <x:c r="P133" s="9" t="str">
        <x:v>Data do catálogo não delimita anos-modelo. Traseiro perfil 55, diferente da GSX-S1000 perfil 50.</x:v>
      </x:c>
      <x:c r="Q133" s="9" t="str">
        <x:v>M040</x:v>
      </x:c>
    </x:row>
    <x:row r="134" ht="48" customHeight="1">
      <x:c r="A134" s="15" t="n">
        <x:v>17</x:v>
      </x:c>
      <x:c r="B134" s="13" t="str">
        <x:v>200/60ZR17</x:v>
      </x:c>
      <x:c r="C134" s="10" t="str">
        <x:v>Traseiro</x:v>
      </x:c>
      <x:c r="D134" s="10" t="str">
        <x:v>Ducati</x:v>
      </x:c>
      <x:c r="E134" s="10" t="str">
        <x:v>Panigale V4 / V4 S</x:v>
      </x:c>
      <x:c r="F134" s="10" t="str">
        <x:v>Ficha da 7ª geração; ano não delimitado</x:v>
      </x:c>
      <x:c r="G134" s="15" t="n">
        <x:v>200</x:v>
      </x:c>
      <x:c r="H134" s="15" t="n">
        <x:v>60</x:v>
      </x:c>
      <x:c r="I134" s="17"/>
      <x:c r="J134" s="10" t="str">
        <x:v>Radial (ZR)</x:v>
      </x:c>
      <x:c r="K134" s="10" t="str">
        <x:v>ND</x:v>
      </x:c>
      <x:c r="L134" s="10" t="str">
        <x:v>ND</x:v>
      </x:c>
      <x:c r="M134" s="10" t="str">
        <x:v>Medida confirmada na fonte</x:v>
      </x:c>
      <x:c r="N134" s="10" t="str">
        <x:v>S075</x:v>
      </x:c>
      <x:c r="O134" s="10" t="str">
        <x:v>Única referência nesta ficha</x:v>
      </x:c>
      <x:c r="P134" s="10" t="str">
        <x:v>Diablo Supercorsa SP-V4. Não estender 200/60ZR17 a todas as gerações Panigale; índices a confirmar no manual.</x:v>
      </x:c>
      <x:c r="Q134" s="10" t="str">
        <x:v>M080</x:v>
      </x:c>
    </x:row>
    <x:row r="135" ht="48" customHeight="1">
      <x:c r="A135" s="14" t="n">
        <x:v>18</x:v>
      </x:c>
      <x:c r="B135" s="12" t="str">
        <x:v>2.75-18</x:v>
      </x:c>
      <x:c r="C135" s="9" t="str">
        <x:v>Dianteiro</x:v>
      </x:c>
      <x:c r="D135" s="9" t="str">
        <x:v>Haojue</x:v>
      </x:c>
      <x:c r="E135" s="9" t="str">
        <x:v>Chopper Road 150</x:v>
      </x:c>
      <x:c r="F135" s="9" t="str">
        <x:v>Não delimitado na fonte</x:v>
      </x:c>
      <x:c r="G135" s="14"/>
      <x:c r="H135" s="14"/>
      <x:c r="I135" s="16" t="n">
        <x:v>2.75</x:v>
      </x:c>
      <x:c r="J135" s="9" t="str">
        <x:v>Polegadas; verificar SKU</x:v>
      </x:c>
      <x:c r="K135" s="9" t="str">
        <x:v>ND</x:v>
      </x:c>
      <x:c r="L135" s="9" t="str">
        <x:v>ND</x:v>
      </x:c>
      <x:c r="M135" s="9" t="str">
        <x:v>Medida confirmada na fonte</x:v>
      </x:c>
      <x:c r="N135" s="9" t="str">
        <x:v>S068</x:v>
      </x:c>
      <x:c r="O135" s="9" t="str">
        <x:v>Única referência nesta ficha</x:v>
      </x:c>
      <x:c r="P135" s="9" t="str"/>
      <x:c r="Q135" s="9" t="str">
        <x:v>M073</x:v>
      </x:c>
    </x:row>
    <x:row r="136" ht="48" customHeight="1">
      <x:c r="A136" s="15" t="n">
        <x:v>18</x:v>
      </x:c>
      <x:c r="B136" s="13" t="str">
        <x:v>2.75-18</x:v>
      </x:c>
      <x:c r="C136" s="10" t="str">
        <x:v>Dianteiro</x:v>
      </x:c>
      <x:c r="D136" s="10" t="str">
        <x:v>Yamaha</x:v>
      </x:c>
      <x:c r="E136" s="10" t="str">
        <x:v>Factor 150 ED</x:v>
      </x:c>
      <x:c r="F136" s="10" t="str">
        <x:v>2022</x:v>
      </x:c>
      <x:c r="G136" s="15"/>
      <x:c r="H136" s="15"/>
      <x:c r="I136" s="17" t="n">
        <x:v>2.75</x:v>
      </x:c>
      <x:c r="J136" s="10" t="str">
        <x:v>Polegadas; verificar SKU</x:v>
      </x:c>
      <x:c r="K136" s="10" t="str">
        <x:v>42P</x:v>
      </x:c>
      <x:c r="L136" s="10" t="str">
        <x:v>Sem câmara</x:v>
      </x:c>
      <x:c r="M136" s="10" t="str">
        <x:v>Medida confirmada na fonte</x:v>
      </x:c>
      <x:c r="N136" s="10" t="str">
        <x:v>S022</x:v>
      </x:c>
      <x:c r="O136" s="10" t="str">
        <x:v>Única referência nesta ficha</x:v>
      </x:c>
      <x:c r="P136" s="10" t="str">
        <x:v>Figuras 24 e 26. Não converter 2.75 automaticamente em uma medida métrica.</x:v>
      </x:c>
      <x:c r="Q136" s="10" t="str">
        <x:v>M024</x:v>
      </x:c>
    </x:row>
    <x:row r="137" ht="48" customHeight="1">
      <x:c r="A137" s="14" t="n">
        <x:v>18</x:v>
      </x:c>
      <x:c r="B137" s="12" t="str">
        <x:v>80/100-18</x:v>
      </x:c>
      <x:c r="C137" s="9" t="str">
        <x:v>Dianteiro</x:v>
      </x:c>
      <x:c r="D137" s="9" t="str">
        <x:v>Honda</x:v>
      </x:c>
      <x:c r="E137" s="9" t="str">
        <x:v>CG 150 Titan ESD / EX</x:v>
      </x:c>
      <x:c r="F137" s="9" t="str">
        <x:v>2015</x:v>
      </x:c>
      <x:c r="G137" s="14" t="n">
        <x:v>80</x:v>
      </x:c>
      <x:c r="H137" s="14" t="n">
        <x:v>100</x:v>
      </x:c>
      <x:c r="I137" s="16"/>
      <x:c r="J137" s="9" t="str">
        <x:v>Hífen na fonte; verificar SKU</x:v>
      </x:c>
      <x:c r="K137" s="9" t="str">
        <x:v>47P</x:v>
      </x:c>
      <x:c r="L137" s="9" t="str">
        <x:v>ND</x:v>
      </x:c>
      <x:c r="M137" s="9" t="str">
        <x:v>Medida confirmada na fonte</x:v>
      </x:c>
      <x:c r="N137" s="9" t="str">
        <x:v>S001</x:v>
      </x:c>
      <x:c r="O137" s="9" t="str">
        <x:v>Única referência nesta ficha</x:v>
      </x:c>
      <x:c r="P137" s="9" t="str">
        <x:v>Não estender à CG 150 Sport. Confirmar tipo de roda e montagem por versão.</x:v>
      </x:c>
      <x:c r="Q137" s="9" t="str">
        <x:v>M001</x:v>
      </x:c>
    </x:row>
    <x:row r="138" ht="48" customHeight="1">
      <x:c r="A138" s="15" t="n">
        <x:v>18</x:v>
      </x:c>
      <x:c r="B138" s="13" t="str">
        <x:v>80/100-18</x:v>
      </x:c>
      <x:c r="C138" s="10" t="str">
        <x:v>Dianteiro</x:v>
      </x:c>
      <x:c r="D138" s="10" t="str">
        <x:v>Honda</x:v>
      </x:c>
      <x:c r="E138" s="10" t="str">
        <x:v>CG 150 Fan ESDi</x:v>
      </x:c>
      <x:c r="F138" s="10" t="str">
        <x:v>2015</x:v>
      </x:c>
      <x:c r="G138" s="15" t="n">
        <x:v>80</x:v>
      </x:c>
      <x:c r="H138" s="15" t="n">
        <x:v>100</x:v>
      </x:c>
      <x:c r="I138" s="17"/>
      <x:c r="J138" s="10" t="str">
        <x:v>Hífen na fonte; verificar SKU</x:v>
      </x:c>
      <x:c r="K138" s="10" t="str">
        <x:v>47P</x:v>
      </x:c>
      <x:c r="L138" s="10" t="str">
        <x:v>ND</x:v>
      </x:c>
      <x:c r="M138" s="10" t="str">
        <x:v>Medida confirmada na fonte</x:v>
      </x:c>
      <x:c r="N138" s="10" t="str">
        <x:v>S002</x:v>
      </x:c>
      <x:c r="O138" s="10" t="str">
        <x:v>Única referência nesta ficha</x:v>
      </x:c>
      <x:c r="P138" s="10" t="str"/>
      <x:c r="Q138" s="10" t="str">
        <x:v>M002</x:v>
      </x:c>
    </x:row>
    <x:row r="139" ht="48" customHeight="1">
      <x:c r="A139" s="14" t="n">
        <x:v>18</x:v>
      </x:c>
      <x:c r="B139" s="12" t="str">
        <x:v>80/100-18</x:v>
      </x:c>
      <x:c r="C139" s="9" t="str">
        <x:v>Dianteiro</x:v>
      </x:c>
      <x:c r="D139" s="9" t="str">
        <x:v>Honda</x:v>
      </x:c>
      <x:c r="E139" s="9" t="str">
        <x:v>CG 150 Sport</x:v>
      </x:c>
      <x:c r="F139" s="9" t="str">
        <x:v>2005</x:v>
      </x:c>
      <x:c r="G139" s="14" t="n">
        <x:v>80</x:v>
      </x:c>
      <x:c r="H139" s="14" t="n">
        <x:v>100</x:v>
      </x:c>
      <x:c r="I139" s="16"/>
      <x:c r="J139" s="9" t="str">
        <x:v>Hífen na fonte; verificar SKU</x:v>
      </x:c>
      <x:c r="K139" s="9" t="str">
        <x:v>47P</x:v>
      </x:c>
      <x:c r="L139" s="9" t="str">
        <x:v>Sem câmara</x:v>
      </x:c>
      <x:c r="M139" s="9" t="str">
        <x:v>Medida confirmada na fonte</x:v>
      </x:c>
      <x:c r="N139" s="9" t="str">
        <x:v>S003</x:v>
      </x:c>
      <x:c r="O139" s="9" t="str">
        <x:v>Única referência nesta ficha</x:v>
      </x:c>
      <x:c r="P139" s="9" t="str"/>
      <x:c r="Q139" s="9" t="str">
        <x:v>M003</x:v>
      </x:c>
    </x:row>
    <x:row r="140" ht="48" customHeight="1">
      <x:c r="A140" s="15" t="n">
        <x:v>18</x:v>
      </x:c>
      <x:c r="B140" s="13" t="str">
        <x:v>80/100-18</x:v>
      </x:c>
      <x:c r="C140" s="10" t="str">
        <x:v>Dianteiro</x:v>
      </x:c>
      <x:c r="D140" s="10" t="str">
        <x:v>Honda</x:v>
      </x:c>
      <x:c r="E140" s="10" t="str">
        <x:v>CG 160 Fan</x:v>
      </x:c>
      <x:c r="F140" s="10" t="str">
        <x:v>2019–2020</x:v>
      </x:c>
      <x:c r="G140" s="15" t="n">
        <x:v>80</x:v>
      </x:c>
      <x:c r="H140" s="15" t="n">
        <x:v>100</x:v>
      </x:c>
      <x:c r="I140" s="17"/>
      <x:c r="J140" s="10" t="str">
        <x:v>Hífen na fonte; verificar SKU</x:v>
      </x:c>
      <x:c r="K140" s="10" t="str">
        <x:v>47P</x:v>
      </x:c>
      <x:c r="L140" s="10" t="str">
        <x:v>ND</x:v>
      </x:c>
      <x:c r="M140" s="10" t="str">
        <x:v>Medida confirmada na fonte</x:v>
      </x:c>
      <x:c r="N140" s="10" t="str">
        <x:v>S004</x:v>
      </x:c>
      <x:c r="O140" s="10" t="str">
        <x:v>Única referência nesta ficha</x:v>
      </x:c>
      <x:c r="P140" s="10" t="str">
        <x:v>Traseiro REINF. Manual, seção Especificações; PDF p.128.</x:v>
      </x:c>
      <x:c r="Q140" s="10" t="str">
        <x:v>M004</x:v>
      </x:c>
    </x:row>
    <x:row r="141" ht="48" customHeight="1">
      <x:c r="A141" s="14" t="n">
        <x:v>18</x:v>
      </x:c>
      <x:c r="B141" s="12" t="str">
        <x:v>80/100-18</x:v>
      </x:c>
      <x:c r="C141" s="9" t="str">
        <x:v>Dianteiro</x:v>
      </x:c>
      <x:c r="D141" s="9" t="str">
        <x:v>Honda</x:v>
      </x:c>
      <x:c r="E141" s="9" t="str">
        <x:v>CG 160 Titan</x:v>
      </x:c>
      <x:c r="F141" s="9" t="str">
        <x:v>2019–2020</x:v>
      </x:c>
      <x:c r="G141" s="14" t="n">
        <x:v>80</x:v>
      </x:c>
      <x:c r="H141" s="14" t="n">
        <x:v>100</x:v>
      </x:c>
      <x:c r="I141" s="16"/>
      <x:c r="J141" s="9" t="str">
        <x:v>Hífen na fonte; verificar SKU</x:v>
      </x:c>
      <x:c r="K141" s="9" t="str">
        <x:v>47P</x:v>
      </x:c>
      <x:c r="L141" s="9" t="str">
        <x:v>ND</x:v>
      </x:c>
      <x:c r="M141" s="9" t="str">
        <x:v>Medida confirmada na fonte</x:v>
      </x:c>
      <x:c r="N141" s="9" t="str">
        <x:v>S004</x:v>
      </x:c>
      <x:c r="O141" s="9" t="str">
        <x:v>Única referência nesta ficha</x:v>
      </x:c>
      <x:c r="P141" s="9" t="str">
        <x:v>Traseiro REINF. Diferente da Fan da mesma edição.</x:v>
      </x:c>
      <x:c r="Q141" s="9" t="str">
        <x:v>M005</x:v>
      </x:c>
    </x:row>
    <x:row r="142" ht="48" customHeight="1">
      <x:c r="A142" s="15" t="n">
        <x:v>18</x:v>
      </x:c>
      <x:c r="B142" s="13" t="str">
        <x:v>80/100-18</x:v>
      </x:c>
      <x:c r="C142" s="10" t="str">
        <x:v>Dianteiro</x:v>
      </x:c>
      <x:c r="D142" s="10" t="str">
        <x:v>Honda</x:v>
      </x:c>
      <x:c r="E142" s="10" t="str">
        <x:v>CG 160 Start</x:v>
      </x:c>
      <x:c r="F142" s="10" t="str">
        <x:v>2026</x:v>
      </x:c>
      <x:c r="G142" s="15" t="n">
        <x:v>80</x:v>
      </x:c>
      <x:c r="H142" s="15" t="n">
        <x:v>100</x:v>
      </x:c>
      <x:c r="I142" s="17"/>
      <x:c r="J142" s="10" t="str">
        <x:v>Hífen na fonte; verificar SKU</x:v>
      </x:c>
      <x:c r="K142" s="10" t="str">
        <x:v>47S</x:v>
      </x:c>
      <x:c r="L142" s="10" t="str">
        <x:v>ND</x:v>
      </x:c>
      <x:c r="M142" s="10" t="str">
        <x:v>Medida confirmada na fonte</x:v>
      </x:c>
      <x:c r="N142" s="10" t="str">
        <x:v>S005</x:v>
      </x:c>
      <x:c r="O142" s="10" t="str">
        <x:v>Única referência nesta ficha</x:v>
      </x:c>
      <x:c r="P142" s="10" t="str"/>
      <x:c r="Q142" s="10" t="str">
        <x:v>M006</x:v>
      </x:c>
    </x:row>
    <x:row r="143" ht="48" customHeight="1">
      <x:c r="A143" s="14" t="n">
        <x:v>18</x:v>
      </x:c>
      <x:c r="B143" s="12" t="str">
        <x:v>90/90-18</x:v>
      </x:c>
      <x:c r="C143" s="9" t="str">
        <x:v>Traseiro</x:v>
      </x:c>
      <x:c r="D143" s="9" t="str">
        <x:v>Honda</x:v>
      </x:c>
      <x:c r="E143" s="9" t="str">
        <x:v>CG 150 Titan ESD / EX</x:v>
      </x:c>
      <x:c r="F143" s="9" t="str">
        <x:v>2015</x:v>
      </x:c>
      <x:c r="G143" s="14" t="n">
        <x:v>90</x:v>
      </x:c>
      <x:c r="H143" s="14" t="n">
        <x:v>90</x:v>
      </x:c>
      <x:c r="I143" s="16"/>
      <x:c r="J143" s="9" t="str">
        <x:v>Hífen na fonte; verificar SKU</x:v>
      </x:c>
      <x:c r="K143" s="9" t="str">
        <x:v>57P</x:v>
      </x:c>
      <x:c r="L143" s="9" t="str">
        <x:v>ND</x:v>
      </x:c>
      <x:c r="M143" s="9" t="str">
        <x:v>Medida confirmada na fonte</x:v>
      </x:c>
      <x:c r="N143" s="9" t="str">
        <x:v>S001</x:v>
      </x:c>
      <x:c r="O143" s="9" t="str">
        <x:v>Única referência nesta ficha</x:v>
      </x:c>
      <x:c r="P143" s="9" t="str">
        <x:v>Não estender à CG 150 Sport. Confirmar tipo de roda e montagem por versão.</x:v>
      </x:c>
      <x:c r="Q143" s="9" t="str">
        <x:v>M001</x:v>
      </x:c>
    </x:row>
    <x:row r="144" ht="48" customHeight="1">
      <x:c r="A144" s="15" t="n">
        <x:v>18</x:v>
      </x:c>
      <x:c r="B144" s="13" t="str">
        <x:v>90/90-18</x:v>
      </x:c>
      <x:c r="C144" s="10" t="str">
        <x:v>Traseiro</x:v>
      </x:c>
      <x:c r="D144" s="10" t="str">
        <x:v>Honda</x:v>
      </x:c>
      <x:c r="E144" s="10" t="str">
        <x:v>CG 150 Fan ESDi</x:v>
      </x:c>
      <x:c r="F144" s="10" t="str">
        <x:v>2015</x:v>
      </x:c>
      <x:c r="G144" s="15" t="n">
        <x:v>90</x:v>
      </x:c>
      <x:c r="H144" s="15" t="n">
        <x:v>90</x:v>
      </x:c>
      <x:c r="I144" s="17"/>
      <x:c r="J144" s="10" t="str">
        <x:v>Hífen na fonte; verificar SKU</x:v>
      </x:c>
      <x:c r="K144" s="10" t="str">
        <x:v>57P</x:v>
      </x:c>
      <x:c r="L144" s="10" t="str">
        <x:v>ND</x:v>
      </x:c>
      <x:c r="M144" s="10" t="str">
        <x:v>Medida confirmada na fonte</x:v>
      </x:c>
      <x:c r="N144" s="10" t="str">
        <x:v>S002</x:v>
      </x:c>
      <x:c r="O144" s="10" t="str">
        <x:v>Única referência nesta ficha</x:v>
      </x:c>
      <x:c r="P144" s="10" t="str"/>
      <x:c r="Q144" s="10" t="str">
        <x:v>M002</x:v>
      </x:c>
    </x:row>
    <x:row r="145" ht="48" customHeight="1">
      <x:c r="A145" s="14" t="n">
        <x:v>18</x:v>
      </x:c>
      <x:c r="B145" s="12" t="str">
        <x:v>90/90-18</x:v>
      </x:c>
      <x:c r="C145" s="9" t="str">
        <x:v>Traseiro</x:v>
      </x:c>
      <x:c r="D145" s="9" t="str">
        <x:v>Honda</x:v>
      </x:c>
      <x:c r="E145" s="9" t="str">
        <x:v>CG 160 Fan</x:v>
      </x:c>
      <x:c r="F145" s="9" t="str">
        <x:v>2019–2020</x:v>
      </x:c>
      <x:c r="G145" s="14" t="n">
        <x:v>90</x:v>
      </x:c>
      <x:c r="H145" s="14" t="n">
        <x:v>90</x:v>
      </x:c>
      <x:c r="I145" s="16"/>
      <x:c r="J145" s="9" t="str">
        <x:v>Hífen na fonte; verificar SKU</x:v>
      </x:c>
      <x:c r="K145" s="9" t="str">
        <x:v>57P</x:v>
      </x:c>
      <x:c r="L145" s="9" t="str">
        <x:v>ND</x:v>
      </x:c>
      <x:c r="M145" s="9" t="str">
        <x:v>Medida confirmada na fonte</x:v>
      </x:c>
      <x:c r="N145" s="9" t="str">
        <x:v>S004</x:v>
      </x:c>
      <x:c r="O145" s="9" t="str">
        <x:v>Única referência nesta ficha</x:v>
      </x:c>
      <x:c r="P145" s="9" t="str">
        <x:v>Traseiro REINF. Manual, seção Especificações; PDF p.128.</x:v>
      </x:c>
      <x:c r="Q145" s="9" t="str">
        <x:v>M004</x:v>
      </x:c>
    </x:row>
    <x:row r="146" ht="48" customHeight="1">
      <x:c r="A146" s="15" t="n">
        <x:v>18</x:v>
      </x:c>
      <x:c r="B146" s="13" t="str">
        <x:v>90/90-18</x:v>
      </x:c>
      <x:c r="C146" s="10" t="str">
        <x:v>Traseiro</x:v>
      </x:c>
      <x:c r="D146" s="10" t="str">
        <x:v>Honda</x:v>
      </x:c>
      <x:c r="E146" s="10" t="str">
        <x:v>CG 160 Start</x:v>
      </x:c>
      <x:c r="F146" s="10" t="str">
        <x:v>2026</x:v>
      </x:c>
      <x:c r="G146" s="15" t="n">
        <x:v>90</x:v>
      </x:c>
      <x:c r="H146" s="15" t="n">
        <x:v>90</x:v>
      </x:c>
      <x:c r="I146" s="17"/>
      <x:c r="J146" s="10" t="str">
        <x:v>Hífen na fonte; verificar SKU</x:v>
      </x:c>
      <x:c r="K146" s="10" t="str">
        <x:v>59S</x:v>
      </x:c>
      <x:c r="L146" s="10" t="str">
        <x:v>ND</x:v>
      </x:c>
      <x:c r="M146" s="10" t="str">
        <x:v>Medida confirmada na fonte</x:v>
      </x:c>
      <x:c r="N146" s="10" t="str">
        <x:v>S005</x:v>
      </x:c>
      <x:c r="O146" s="10" t="str">
        <x:v>Única referência nesta ficha</x:v>
      </x:c>
      <x:c r="P146" s="10" t="str"/>
      <x:c r="Q146" s="10" t="str">
        <x:v>M006</x:v>
      </x:c>
    </x:row>
    <x:row r="147" ht="48" customHeight="1">
      <x:c r="A147" s="14" t="n">
        <x:v>18</x:v>
      </x:c>
      <x:c r="B147" s="12" t="str">
        <x:v>90/90-18</x:v>
      </x:c>
      <x:c r="C147" s="9" t="str">
        <x:v>Traseiro</x:v>
      </x:c>
      <x:c r="D147" s="9" t="str">
        <x:v>Yamaha</x:v>
      </x:c>
      <x:c r="E147" s="9" t="str">
        <x:v>Factor 150 ED</x:v>
      </x:c>
      <x:c r="F147" s="9" t="str">
        <x:v>2022</x:v>
      </x:c>
      <x:c r="G147" s="14" t="n">
        <x:v>90</x:v>
      </x:c>
      <x:c r="H147" s="14" t="n">
        <x:v>90</x:v>
      </x:c>
      <x:c r="I147" s="16"/>
      <x:c r="J147" s="9" t="str">
        <x:v>Hífen na fonte; verificar SKU</x:v>
      </x:c>
      <x:c r="K147" s="9" t="str">
        <x:v>57P</x:v>
      </x:c>
      <x:c r="L147" s="9" t="str">
        <x:v>ND</x:v>
      </x:c>
      <x:c r="M147" s="9" t="str">
        <x:v>Medida confirmada na fonte</x:v>
      </x:c>
      <x:c r="N147" s="9" t="str">
        <x:v>S022</x:v>
      </x:c>
      <x:c r="O147" s="9" t="str">
        <x:v>Única referência nesta ficha</x:v>
      </x:c>
      <x:c r="P147" s="9" t="str">
        <x:v>Figuras 24 e 26. Não converter 2.75 automaticamente em uma medida métrica.</x:v>
      </x:c>
      <x:c r="Q147" s="9" t="str">
        <x:v>M024</x:v>
      </x:c>
    </x:row>
    <x:row r="148" ht="48" customHeight="1">
      <x:c r="A148" s="15" t="n">
        <x:v>18</x:v>
      </x:c>
      <x:c r="B148" s="13" t="str">
        <x:v>100/80-18</x:v>
      </x:c>
      <x:c r="C148" s="10" t="str">
        <x:v>Traseiro</x:v>
      </x:c>
      <x:c r="D148" s="10" t="str">
        <x:v>Honda</x:v>
      </x:c>
      <x:c r="E148" s="10" t="str">
        <x:v>CG 160 Titan</x:v>
      </x:c>
      <x:c r="F148" s="10" t="str">
        <x:v>2019–2020</x:v>
      </x:c>
      <x:c r="G148" s="15" t="n">
        <x:v>100</x:v>
      </x:c>
      <x:c r="H148" s="15" t="n">
        <x:v>80</x:v>
      </x:c>
      <x:c r="I148" s="17"/>
      <x:c r="J148" s="10" t="str">
        <x:v>Hífen na fonte; verificar SKU</x:v>
      </x:c>
      <x:c r="K148" s="10" t="str">
        <x:v>59P</x:v>
      </x:c>
      <x:c r="L148" s="10" t="str">
        <x:v>ND</x:v>
      </x:c>
      <x:c r="M148" s="10" t="str">
        <x:v>Medida confirmada na fonte</x:v>
      </x:c>
      <x:c r="N148" s="10" t="str">
        <x:v>S004</x:v>
      </x:c>
      <x:c r="O148" s="10" t="str">
        <x:v>Única referência nesta ficha</x:v>
      </x:c>
      <x:c r="P148" s="10" t="str">
        <x:v>Traseiro REINF. Diferente da Fan da mesma edição.</x:v>
      </x:c>
      <x:c r="Q148" s="10" t="str">
        <x:v>M005</x:v>
      </x:c>
    </x:row>
    <x:row r="149" ht="48" customHeight="1">
      <x:c r="A149" s="14" t="n">
        <x:v>18</x:v>
      </x:c>
      <x:c r="B149" s="12" t="str">
        <x:v>100/90-18</x:v>
      </x:c>
      <x:c r="C149" s="9" t="str">
        <x:v>Dianteiro</x:v>
      </x:c>
      <x:c r="D149" s="9" t="str">
        <x:v>Royal Enfield</x:v>
      </x:c>
      <x:c r="E149" s="9" t="str">
        <x:v>Shotgun 650</x:v>
      </x:c>
      <x:c r="F149" s="9" t="str">
        <x:v>Não delimitado na fonte</x:v>
      </x:c>
      <x:c r="G149" s="14" t="n">
        <x:v>100</x:v>
      </x:c>
      <x:c r="H149" s="14" t="n">
        <x:v>90</x:v>
      </x:c>
      <x:c r="I149" s="16"/>
      <x:c r="J149" s="9" t="str">
        <x:v>Hífen na fonte; verificar SKU</x:v>
      </x:c>
      <x:c r="K149" s="9" t="str">
        <x:v>56H</x:v>
      </x:c>
      <x:c r="L149" s="9" t="str">
        <x:v>Sem câmara</x:v>
      </x:c>
      <x:c r="M149" s="9" t="str">
        <x:v>Medida confirmada na fonte</x:v>
      </x:c>
      <x:c r="N149" s="9" t="str">
        <x:v>S047</x:v>
      </x:c>
      <x:c r="O149" s="9" t="str">
        <x:v>Única referência nesta ficha</x:v>
      </x:c>
      <x:c r="P149" s="9" t="str">
        <x:v>Ficha específica Brasil, p.2. Dianteiro aro 18; não importar divergência de PDF francês.</x:v>
      </x:c>
      <x:c r="Q149" s="9" t="str">
        <x:v>M054</x:v>
      </x:c>
    </x:row>
    <x:row r="150" ht="48" customHeight="1">
      <x:c r="A150" s="15" t="n">
        <x:v>18</x:v>
      </x:c>
      <x:c r="B150" s="13" t="str">
        <x:v>100/90-18</x:v>
      </x:c>
      <x:c r="C150" s="10" t="str">
        <x:v>Dianteiro</x:v>
      </x:c>
      <x:c r="D150" s="10" t="str">
        <x:v>Royal Enfield</x:v>
      </x:c>
      <x:c r="E150" s="10" t="str">
        <x:v>Interceptor 650</x:v>
      </x:c>
      <x:c r="F150" s="10" t="str">
        <x:v>Ficha Reino Unido, ano não delimitado</x:v>
      </x:c>
      <x:c r="G150" s="15" t="n">
        <x:v>100</x:v>
      </x:c>
      <x:c r="H150" s="15" t="n">
        <x:v>90</x:v>
      </x:c>
      <x:c r="I150" s="17"/>
      <x:c r="J150" s="10" t="str">
        <x:v>Hífen na fonte; verificar SKU</x:v>
      </x:c>
      <x:c r="K150" s="10" t="str">
        <x:v>56H</x:v>
      </x:c>
      <x:c r="L150" s="10" t="str">
        <x:v>ND</x:v>
      </x:c>
      <x:c r="M150" s="11" t="str">
        <x:v>Referência internacional</x:v>
      </x:c>
      <x:c r="N150" s="11" t="str">
        <x:v>S053</x:v>
      </x:c>
      <x:c r="O150" s="10" t="str">
        <x:v>Única referência nesta ficha</x:v>
      </x:c>
      <x:c r="P150" s="10" t="str">
        <x:v>Outras fichas globais citam alternativa radial traseira; confirmar ano, roda e manual Brasil antes de liberar.</x:v>
      </x:c>
      <x:c r="Q150" s="10" t="str">
        <x:v>M060</x:v>
      </x:c>
    </x:row>
    <x:row r="151" ht="48" customHeight="1">
      <x:c r="A151" s="14" t="n">
        <x:v>18</x:v>
      </x:c>
      <x:c r="B151" s="12" t="str">
        <x:v>120/70R18</x:v>
      </x:c>
      <x:c r="C151" s="9" t="str">
        <x:v>Dianteiro</x:v>
      </x:c>
      <x:c r="D151" s="9" t="str">
        <x:v>Kawasaki</x:v>
      </x:c>
      <x:c r="E151" s="9" t="str">
        <x:v>Vulcan S Café</x:v>
      </x:c>
      <x:c r="F151" s="9" t="str">
        <x:v>2026</x:v>
      </x:c>
      <x:c r="G151" s="14" t="n">
        <x:v>120</x:v>
      </x:c>
      <x:c r="H151" s="14" t="n">
        <x:v>70</x:v>
      </x:c>
      <x:c r="I151" s="16"/>
      <x:c r="J151" s="9" t="str">
        <x:v>Radial (R)</x:v>
      </x:c>
      <x:c r="K151" s="9" t="str">
        <x:v>59H</x:v>
      </x:c>
      <x:c r="L151" s="9" t="str">
        <x:v>ND</x:v>
      </x:c>
      <x:c r="M151" s="9" t="str">
        <x:v>Medida confirmada na fonte</x:v>
      </x:c>
      <x:c r="N151" s="9" t="str">
        <x:v>S072</x:v>
      </x:c>
      <x:c r="O151" s="9" t="str">
        <x:v>Única referência nesta ficha</x:v>
      </x:c>
      <x:c r="P151" s="9" t="str"/>
      <x:c r="Q151" s="9" t="str">
        <x:v>M077</x:v>
      </x:c>
    </x:row>
    <x:row r="152" ht="48" customHeight="1">
      <x:c r="A152" s="15" t="n">
        <x:v>18</x:v>
      </x:c>
      <x:c r="B152" s="13" t="str">
        <x:v>120/80-18</x:v>
      </x:c>
      <x:c r="C152" s="10" t="str">
        <x:v>Traseiro</x:v>
      </x:c>
      <x:c r="D152" s="10" t="str">
        <x:v>Honda</x:v>
      </x:c>
      <x:c r="E152" s="10" t="str">
        <x:v>Sahara 300</x:v>
      </x:c>
      <x:c r="F152" s="10" t="str">
        <x:v>2024</x:v>
      </x:c>
      <x:c r="G152" s="15" t="n">
        <x:v>120</x:v>
      </x:c>
      <x:c r="H152" s="15" t="n">
        <x:v>80</x:v>
      </x:c>
      <x:c r="I152" s="17"/>
      <x:c r="J152" s="10" t="str">
        <x:v>Hífen na fonte; verificar SKU</x:v>
      </x:c>
      <x:c r="K152" s="10" t="str">
        <x:v>ND</x:v>
      </x:c>
      <x:c r="L152" s="10" t="str">
        <x:v>ND</x:v>
      </x:c>
      <x:c r="M152" s="10" t="str">
        <x:v>Medida confirmada na fonte</x:v>
      </x:c>
      <x:c r="N152" s="10" t="str">
        <x:v>S009</x:v>
      </x:c>
      <x:c r="O152" s="10" t="str">
        <x:v>Única referência nesta ficha</x:v>
      </x:c>
      <x:c r="P152" s="10" t="str"/>
      <x:c r="Q152" s="10" t="str">
        <x:v>M010</x:v>
      </x:c>
    </x:row>
    <x:row r="153" ht="48" customHeight="1">
      <x:c r="A153" s="14" t="n">
        <x:v>18</x:v>
      </x:c>
      <x:c r="B153" s="12" t="str">
        <x:v>130/70-18</x:v>
      </x:c>
      <x:c r="C153" s="9" t="str">
        <x:v>Traseiro</x:v>
      </x:c>
      <x:c r="D153" s="9" t="str">
        <x:v>Royal Enfield</x:v>
      </x:c>
      <x:c r="E153" s="9" t="str">
        <x:v>Interceptor 650</x:v>
      </x:c>
      <x:c r="F153" s="9" t="str">
        <x:v>Ficha Reino Unido, ano não delimitado</x:v>
      </x:c>
      <x:c r="G153" s="14" t="n">
        <x:v>130</x:v>
      </x:c>
      <x:c r="H153" s="14" t="n">
        <x:v>70</x:v>
      </x:c>
      <x:c r="I153" s="16"/>
      <x:c r="J153" s="9" t="str">
        <x:v>Hífen na fonte; verificar SKU</x:v>
      </x:c>
      <x:c r="K153" s="9" t="str">
        <x:v>63H</x:v>
      </x:c>
      <x:c r="L153" s="9" t="str">
        <x:v>ND</x:v>
      </x:c>
      <x:c r="M153" s="11" t="str">
        <x:v>Referência internacional</x:v>
      </x:c>
      <x:c r="N153" s="11" t="str">
        <x:v>S053</x:v>
      </x:c>
      <x:c r="O153" s="9" t="str">
        <x:v>Única referência nesta ficha</x:v>
      </x:c>
      <x:c r="P153" s="9" t="str">
        <x:v>Outras fichas globais citam alternativa radial traseira; confirmar ano, roda e manual Brasil antes de liberar.</x:v>
      </x:c>
      <x:c r="Q153" s="9" t="str">
        <x:v>M060</x:v>
      </x:c>
    </x:row>
    <x:row r="154" ht="48" customHeight="1">
      <x:c r="A154" s="15" t="n">
        <x:v>19</x:v>
      </x:c>
      <x:c r="B154" s="13" t="str">
        <x:v>90/90-19</x:v>
      </x:c>
      <x:c r="C154" s="10" t="str">
        <x:v>Dianteiro</x:v>
      </x:c>
      <x:c r="D154" s="10" t="str">
        <x:v>Honda</x:v>
      </x:c>
      <x:c r="E154" s="10" t="str">
        <x:v>NXR 160 Bros ABS / CBS</x:v>
      </x:c>
      <x:c r="F154" s="10" t="str">
        <x:v>2026</x:v>
      </x:c>
      <x:c r="G154" s="15" t="n">
        <x:v>90</x:v>
      </x:c>
      <x:c r="H154" s="15" t="n">
        <x:v>90</x:v>
      </x:c>
      <x:c r="I154" s="17"/>
      <x:c r="J154" s="10" t="str">
        <x:v>Hífen na fonte; verificar SKU</x:v>
      </x:c>
      <x:c r="K154" s="10" t="str">
        <x:v>52P</x:v>
      </x:c>
      <x:c r="L154" s="10" t="str">
        <x:v>ND</x:v>
      </x:c>
      <x:c r="M154" s="10" t="str">
        <x:v>Medida confirmada na fonte</x:v>
      </x:c>
      <x:c r="N154" s="10" t="str">
        <x:v>S008</x:v>
      </x:c>
      <x:c r="O154" s="10" t="str">
        <x:v>Única referência nesta ficha</x:v>
      </x:c>
      <x:c r="P154" s="10" t="str"/>
      <x:c r="Q154" s="10" t="str">
        <x:v>M009</x:v>
      </x:c>
    </x:row>
    <x:row r="155" ht="48" customHeight="1">
      <x:c r="A155" s="14" t="n">
        <x:v>19</x:v>
      </x:c>
      <x:c r="B155" s="12" t="str">
        <x:v>90/90-19</x:v>
      </x:c>
      <x:c r="C155" s="9" t="str">
        <x:v>Dianteiro</x:v>
      </x:c>
      <x:c r="D155" s="9" t="str">
        <x:v>Yamaha</x:v>
      </x:c>
      <x:c r="E155" s="9" t="str">
        <x:v>Crosser 150</x:v>
      </x:c>
      <x:c r="F155" s="9" t="str">
        <x:v>2022</x:v>
      </x:c>
      <x:c r="G155" s="14" t="n">
        <x:v>90</x:v>
      </x:c>
      <x:c r="H155" s="14" t="n">
        <x:v>90</x:v>
      </x:c>
      <x:c r="I155" s="16"/>
      <x:c r="J155" s="9" t="str">
        <x:v>Hífen na fonte; verificar SKU</x:v>
      </x:c>
      <x:c r="K155" s="9" t="str">
        <x:v>52P</x:v>
      </x:c>
      <x:c r="L155" s="9" t="str">
        <x:v>Com câmara</x:v>
      </x:c>
      <x:c r="M155" s="9" t="str">
        <x:v>Medida confirmada na fonte</x:v>
      </x:c>
      <x:c r="N155" s="9" t="str">
        <x:v>S020</x:v>
      </x:c>
      <x:c r="O155" s="9" t="str">
        <x:v>Única referência nesta ficha</x:v>
      </x:c>
      <x:c r="P155" s="9" t="str">
        <x:v>Manual, p.6-22; Metzeler Tourance. Link legado pode redirecionar ao portal Yamaha.</x:v>
      </x:c>
      <x:c r="Q155" s="9" t="str">
        <x:v>M022</x:v>
      </x:c>
    </x:row>
    <x:row r="156" ht="48" customHeight="1">
      <x:c r="A156" s="15" t="n">
        <x:v>19</x:v>
      </x:c>
      <x:c r="B156" s="13" t="str">
        <x:v>100/90-19</x:v>
      </x:c>
      <x:c r="C156" s="10" t="str">
        <x:v>Dianteiro</x:v>
      </x:c>
      <x:c r="D156" s="10" t="str">
        <x:v>Dafra / SYM</x:v>
      </x:c>
      <x:c r="E156" s="10" t="str">
        <x:v>NH 190</x:v>
      </x:c>
      <x:c r="F156" s="10" t="str">
        <x:v>Não delimitado na fonte</x:v>
      </x:c>
      <x:c r="G156" s="15" t="n">
        <x:v>100</x:v>
      </x:c>
      <x:c r="H156" s="15" t="n">
        <x:v>90</x:v>
      </x:c>
      <x:c r="I156" s="17"/>
      <x:c r="J156" s="10" t="str">
        <x:v>Hífen na fonte; verificar SKU</x:v>
      </x:c>
      <x:c r="K156" s="10" t="str">
        <x:v>57H</x:v>
      </x:c>
      <x:c r="L156" s="10" t="str">
        <x:v>ND</x:v>
      </x:c>
      <x:c r="M156" s="10" t="str">
        <x:v>Medida confirmada na fonte</x:v>
      </x:c>
      <x:c r="N156" s="10" t="str">
        <x:v>S066</x:v>
      </x:c>
      <x:c r="O156" s="10" t="str">
        <x:v>Única referência nesta ficha</x:v>
      </x:c>
      <x:c r="P156" s="10" t="str"/>
      <x:c r="Q156" s="10" t="str">
        <x:v>M071</x:v>
      </x:c>
    </x:row>
    <x:row r="157" ht="48" customHeight="1">
      <x:c r="A157" s="14" t="n">
        <x:v>19</x:v>
      </x:c>
      <x:c r="B157" s="12" t="str">
        <x:v>100/90-19</x:v>
      </x:c>
      <x:c r="C157" s="9" t="str">
        <x:v>Dianteiro</x:v>
      </x:c>
      <x:c r="D157" s="9" t="str">
        <x:v>Royal Enfield</x:v>
      </x:c>
      <x:c r="E157" s="9" t="str">
        <x:v>Meteor 350 — rodas de liga</x:v>
      </x:c>
      <x:c r="F157" s="9" t="str">
        <x:v>Não delimitado na fonte</x:v>
      </x:c>
      <x:c r="G157" s="14" t="n">
        <x:v>100</x:v>
      </x:c>
      <x:c r="H157" s="14" t="n">
        <x:v>90</x:v>
      </x:c>
      <x:c r="I157" s="16"/>
      <x:c r="J157" s="9" t="str">
        <x:v>Hífen na fonte; verificar SKU</x:v>
      </x:c>
      <x:c r="K157" s="9" t="str">
        <x:v>57P</x:v>
      </x:c>
      <x:c r="L157" s="9" t="str">
        <x:v>Sem câmara</x:v>
      </x:c>
      <x:c r="M157" s="9" t="str">
        <x:v>Medida confirmada na fonte</x:v>
      </x:c>
      <x:c r="N157" s="9" t="str">
        <x:v>S045</x:v>
      </x:c>
      <x:c r="O157" s="9" t="str">
        <x:v>Única referência nesta ficha</x:v>
      </x:c>
      <x:c r="P157" s="9" t="str">
        <x:v>Ficha especifica rodas de liga. Não generalizar montagem para versão de rodas raiadas.</x:v>
      </x:c>
      <x:c r="Q157" s="9" t="str">
        <x:v>M052</x:v>
      </x:c>
    </x:row>
    <x:row r="158" ht="48" customHeight="1">
      <x:c r="A158" s="15" t="n">
        <x:v>19</x:v>
      </x:c>
      <x:c r="B158" s="13" t="str">
        <x:v>100/90-19</x:v>
      </x:c>
      <x:c r="C158" s="10" t="str">
        <x:v>Dianteiro</x:v>
      </x:c>
      <x:c r="D158" s="10" t="str">
        <x:v>Royal Enfield</x:v>
      </x:c>
      <x:c r="E158" s="10" t="str">
        <x:v>Super Meteor 650</x:v>
      </x:c>
      <x:c r="F158" s="10" t="str">
        <x:v>Não delimitado na fonte</x:v>
      </x:c>
      <x:c r="G158" s="15" t="n">
        <x:v>100</x:v>
      </x:c>
      <x:c r="H158" s="15" t="n">
        <x:v>90</x:v>
      </x:c>
      <x:c r="I158" s="17"/>
      <x:c r="J158" s="10" t="str">
        <x:v>Hífen na fonte; verificar SKU</x:v>
      </x:c>
      <x:c r="K158" s="10" t="str">
        <x:v>57H</x:v>
      </x:c>
      <x:c r="L158" s="10" t="str">
        <x:v>Sem câmara</x:v>
      </x:c>
      <x:c r="M158" s="10" t="str">
        <x:v>Medida confirmada na fonte</x:v>
      </x:c>
      <x:c r="N158" s="10" t="str">
        <x:v>S046</x:v>
      </x:c>
      <x:c r="O158" s="10" t="str">
        <x:v>Única referência nesta ficha</x:v>
      </x:c>
      <x:c r="P158" s="10" t="str">
        <x:v>Ficha em português ligada ao site brasileiro, p.2. Traseiro B16, diagonal cintado; não apagar a letra B.</x:v>
      </x:c>
      <x:c r="Q158" s="10" t="str">
        <x:v>M053</x:v>
      </x:c>
    </x:row>
    <x:row r="159" ht="48" customHeight="1">
      <x:c r="A159" s="14" t="n">
        <x:v>19</x:v>
      </x:c>
      <x:c r="B159" s="12" t="str">
        <x:v>100/90-19</x:v>
      </x:c>
      <x:c r="C159" s="9" t="str">
        <x:v>Dianteiro</x:v>
      </x:c>
      <x:c r="D159" s="9" t="str">
        <x:v>Royal Enfield</x:v>
      </x:c>
      <x:c r="E159" s="9" t="str">
        <x:v>Bear 650</x:v>
      </x:c>
      <x:c r="F159" s="9" t="str">
        <x:v>Não delimitado na fonte</x:v>
      </x:c>
      <x:c r="G159" s="14" t="n">
        <x:v>100</x:v>
      </x:c>
      <x:c r="H159" s="14" t="n">
        <x:v>90</x:v>
      </x:c>
      <x:c r="I159" s="16"/>
      <x:c r="J159" s="9" t="str">
        <x:v>Hífen na fonte; verificar SKU</x:v>
      </x:c>
      <x:c r="K159" s="9" t="str">
        <x:v>57H</x:v>
      </x:c>
      <x:c r="L159" s="9" t="str">
        <x:v>ND</x:v>
      </x:c>
      <x:c r="M159" s="9" t="str">
        <x:v>Medida confirmada na fonte</x:v>
      </x:c>
      <x:c r="N159" s="9" t="str">
        <x:v>S049</x:v>
      </x:c>
      <x:c r="O159" s="9" t="str">
        <x:v>Única referência nesta ficha</x:v>
      </x:c>
      <x:c r="P159" s="9" t="str">
        <x:v>MRF Nylorex F / X. Rodas raiadas; não inferir uso de câmara apenas pela roda.</x:v>
      </x:c>
      <x:c r="Q159" s="9" t="str">
        <x:v>M056</x:v>
      </x:c>
    </x:row>
    <x:row r="160" ht="48" customHeight="1">
      <x:c r="A160" s="15" t="n">
        <x:v>19</x:v>
      </x:c>
      <x:c r="B160" s="13" t="str">
        <x:v>100/90-19</x:v>
      </x:c>
      <x:c r="C160" s="10" t="str">
        <x:v>Dianteiro</x:v>
      </x:c>
      <x:c r="D160" s="10" t="str">
        <x:v>Royal Enfield</x:v>
      </x:c>
      <x:c r="E160" s="10" t="str">
        <x:v>Scram 411</x:v>
      </x:c>
      <x:c r="F160" s="10" t="str">
        <x:v>Manual internacional, ano não delimitado</x:v>
      </x:c>
      <x:c r="G160" s="15" t="n">
        <x:v>100</x:v>
      </x:c>
      <x:c r="H160" s="15" t="n">
        <x:v>90</x:v>
      </x:c>
      <x:c r="I160" s="17"/>
      <x:c r="J160" s="10" t="str">
        <x:v>Hífen na fonte; verificar SKU</x:v>
      </x:c>
      <x:c r="K160" s="10" t="str">
        <x:v>ND</x:v>
      </x:c>
      <x:c r="L160" s="10" t="str">
        <x:v>ND</x:v>
      </x:c>
      <x:c r="M160" s="11" t="str">
        <x:v>Referência internacional</x:v>
      </x:c>
      <x:c r="N160" s="11" t="str">
        <x:v>S052</x:v>
      </x:c>
      <x:c r="O160" s="10" t="str">
        <x:v>Única referência nesta ficha</x:v>
      </x:c>
      <x:c r="P160" s="10" t="str"/>
      <x:c r="Q160" s="10" t="str">
        <x:v>M059</x:v>
      </x:c>
    </x:row>
    <x:row r="161" ht="48" customHeight="1">
      <x:c r="A161" s="14" t="n">
        <x:v>19</x:v>
      </x:c>
      <x:c r="B161" s="12" t="str">
        <x:v>100/90-19</x:v>
      </x:c>
      <x:c r="C161" s="9" t="str">
        <x:v>Dianteiro</x:v>
      </x:c>
      <x:c r="D161" s="9" t="str">
        <x:v>Royal Enfield</x:v>
      </x:c>
      <x:c r="E161" s="9" t="str">
        <x:v>Classic 350</x:v>
      </x:c>
      <x:c r="F161" s="9" t="str">
        <x:v>Não delimitado na fonte</x:v>
      </x:c>
      <x:c r="G161" s="14" t="n">
        <x:v>100</x:v>
      </x:c>
      <x:c r="H161" s="14" t="n">
        <x:v>90</x:v>
      </x:c>
      <x:c r="I161" s="16"/>
      <x:c r="J161" s="9" t="str">
        <x:v>Hífen na fonte; verificar SKU</x:v>
      </x:c>
      <x:c r="K161" s="9" t="str">
        <x:v>57P</x:v>
      </x:c>
      <x:c r="L161" s="9" t="str">
        <x:v>Depende da versão do aro</x:v>
      </x:c>
      <x:c r="M161" s="11" t="str">
        <x:v>BLOQUEADO — conflito de fontes</x:v>
      </x:c>
      <x:c r="N161" s="11" t="str">
        <x:v>S054 / S055</x:v>
      </x:c>
      <x:c r="O161" s="9" t="str">
        <x:v>Única referência nesta ficha</x:v>
      </x:c>
      <x:c r="P161" s="9" t="str">
        <x:v>Ficha Brasil indica traseiro aro 19; manual oficial UK indica 120/80-18 62P. Não resolver por suposição. Dianteiro/índice do manual UK; validar manual Brasil.</x:v>
      </x:c>
      <x:c r="Q161" s="9" t="str">
        <x:v>M061</x:v>
      </x:c>
    </x:row>
    <x:row r="162" ht="48" customHeight="1">
      <x:c r="A162" s="15" t="n">
        <x:v>19</x:v>
      </x:c>
      <x:c r="B162" s="13" t="str">
        <x:v>100/90-19</x:v>
      </x:c>
      <x:c r="C162" s="10" t="str">
        <x:v>Dianteiro</x:v>
      </x:c>
      <x:c r="D162" s="10" t="str">
        <x:v>Triumph</x:v>
      </x:c>
      <x:c r="E162" s="10" t="str">
        <x:v>Scrambler 400 X</x:v>
      </x:c>
      <x:c r="F162" s="10" t="str">
        <x:v>Geração de lançamento 2024</x:v>
      </x:c>
      <x:c r="G162" s="15" t="n">
        <x:v>100</x:v>
      </x:c>
      <x:c r="H162" s="15" t="n">
        <x:v>90</x:v>
      </x:c>
      <x:c r="I162" s="17"/>
      <x:c r="J162" s="10" t="str">
        <x:v>Hífen na fonte; verificar SKU</x:v>
      </x:c>
      <x:c r="K162" s="10" t="str">
        <x:v>57V</x:v>
      </x:c>
      <x:c r="L162" s="10" t="str">
        <x:v>ND</x:v>
      </x:c>
      <x:c r="M162" s="10" t="str">
        <x:v>Medida confirmada na fonte</x:v>
      </x:c>
      <x:c r="N162" s="10" t="str">
        <x:v>S076</x:v>
      </x:c>
      <x:c r="O162" s="10" t="str">
        <x:v>Única referência nesta ficha</x:v>
      </x:c>
      <x:c r="P162" s="10" t="str">
        <x:v>Manual brasileiro, p.178. Dianteiro com hífen; não copiar R do comunicado de lançamento.</x:v>
      </x:c>
      <x:c r="Q162" s="10" t="str">
        <x:v>M082</x:v>
      </x:c>
    </x:row>
    <x:row r="163" ht="48" customHeight="1">
      <x:c r="A163" s="14" t="n">
        <x:v>19</x:v>
      </x:c>
      <x:c r="B163" s="12" t="str">
        <x:v>110/80R19</x:v>
      </x:c>
      <x:c r="C163" s="9" t="str">
        <x:v>Dianteiro</x:v>
      </x:c>
      <x:c r="D163" s="9" t="str">
        <x:v>Suzuki</x:v>
      </x:c>
      <x:c r="E163" s="9" t="str">
        <x:v>V-Strom 650A / 650XT</x:v>
      </x:c>
      <x:c r="F163" s="9" t="str">
        <x:v>Não delimitado na fonte</x:v>
      </x:c>
      <x:c r="G163" s="14" t="n">
        <x:v>110</x:v>
      </x:c>
      <x:c r="H163" s="14" t="n">
        <x:v>80</x:v>
      </x:c>
      <x:c r="I163" s="16"/>
      <x:c r="J163" s="9" t="str">
        <x:v>Radial (R)</x:v>
      </x:c>
      <x:c r="K163" s="9" t="str">
        <x:v>59H</x:v>
      </x:c>
      <x:c r="L163" s="9" t="str">
        <x:v>Sem câmara</x:v>
      </x:c>
      <x:c r="M163" s="9" t="str">
        <x:v>Medida confirmada na fonte</x:v>
      </x:c>
      <x:c r="N163" s="9" t="str">
        <x:v>S039</x:v>
      </x:c>
      <x:c r="O163" s="9" t="str">
        <x:v>Única referência nesta ficha</x:v>
      </x:c>
      <x:c r="P163" s="9" t="str"/>
      <x:c r="Q163" s="9" t="str">
        <x:v>M041</x:v>
      </x:c>
    </x:row>
    <x:row r="164" ht="48" customHeight="1">
      <x:c r="A164" s="15" t="n">
        <x:v>19</x:v>
      </x:c>
      <x:c r="B164" s="13" t="str">
        <x:v>120/70R19</x:v>
      </x:c>
      <x:c r="C164" s="10" t="str">
        <x:v>Dianteiro</x:v>
      </x:c>
      <x:c r="D164" s="10" t="str">
        <x:v>BMW</x:v>
      </x:c>
      <x:c r="E164" s="10" t="str">
        <x:v>R 1250 GS</x:v>
      </x:c>
      <x:c r="F164" s="10" t="str">
        <x:v>Não delimitado na fonte</x:v>
      </x:c>
      <x:c r="G164" s="15" t="n">
        <x:v>120</x:v>
      </x:c>
      <x:c r="H164" s="15" t="n">
        <x:v>70</x:v>
      </x:c>
      <x:c r="I164" s="17"/>
      <x:c r="J164" s="10" t="str">
        <x:v>Radial (R)</x:v>
      </x:c>
      <x:c r="K164" s="10" t="str">
        <x:v>ND</x:v>
      </x:c>
      <x:c r="L164" s="10" t="str">
        <x:v>ND</x:v>
      </x:c>
      <x:c r="M164" s="10" t="str">
        <x:v>Medida confirmada na fonte</x:v>
      </x:c>
      <x:c r="N164" s="10" t="str">
        <x:v>S074</x:v>
      </x:c>
      <x:c r="O164" s="10" t="str">
        <x:v>Única referência nesta ficha</x:v>
      </x:c>
      <x:c r="P164" s="10" t="str"/>
      <x:c r="Q164" s="10" t="str">
        <x:v>M079</x:v>
      </x:c>
    </x:row>
    <x:row r="165" ht="48" customHeight="1">
      <x:c r="A165" s="14" t="n">
        <x:v>21</x:v>
      </x:c>
      <x:c r="B165" s="12" t="str">
        <x:v>90/90-21</x:v>
      </x:c>
      <x:c r="C165" s="9" t="str">
        <x:v>Dianteiro</x:v>
      </x:c>
      <x:c r="D165" s="9" t="str">
        <x:v>Honda</x:v>
      </x:c>
      <x:c r="E165" s="9" t="str">
        <x:v>Sahara 300</x:v>
      </x:c>
      <x:c r="F165" s="9" t="str">
        <x:v>2024</x:v>
      </x:c>
      <x:c r="G165" s="14" t="n">
        <x:v>90</x:v>
      </x:c>
      <x:c r="H165" s="14" t="n">
        <x:v>90</x:v>
      </x:c>
      <x:c r="I165" s="16"/>
      <x:c r="J165" s="9" t="str">
        <x:v>Hífen na fonte; verificar SKU</x:v>
      </x:c>
      <x:c r="K165" s="9" t="str">
        <x:v>ND</x:v>
      </x:c>
      <x:c r="L165" s="9" t="str">
        <x:v>ND</x:v>
      </x:c>
      <x:c r="M165" s="9" t="str">
        <x:v>Medida confirmada na fonte</x:v>
      </x:c>
      <x:c r="N165" s="9" t="str">
        <x:v>S009</x:v>
      </x:c>
      <x:c r="O165" s="9" t="str">
        <x:v>Única referência nesta ficha</x:v>
      </x:c>
      <x:c r="P165" s="9" t="str"/>
      <x:c r="Q165" s="9" t="str">
        <x:v>M010</x:v>
      </x:c>
    </x:row>
    <x:row r="166" ht="48" customHeight="1">
      <x:c r="A166" s="15" t="n">
        <x:v>21</x:v>
      </x:c>
      <x:c r="B166" s="13" t="str">
        <x:v>90/90-21</x:v>
      </x:c>
      <x:c r="C166" s="10" t="str">
        <x:v>Dianteiro</x:v>
      </x:c>
      <x:c r="D166" s="10" t="str">
        <x:v>Royal Enfield</x:v>
      </x:c>
      <x:c r="E166" s="10" t="str">
        <x:v>Himalayan 411</x:v>
      </x:c>
      <x:c r="F166" s="10" t="str">
        <x:v>Não delimitado na fonte</x:v>
      </x:c>
      <x:c r="G166" s="15" t="n">
        <x:v>90</x:v>
      </x:c>
      <x:c r="H166" s="15" t="n">
        <x:v>90</x:v>
      </x:c>
      <x:c r="I166" s="17"/>
      <x:c r="J166" s="10" t="str">
        <x:v>Hífen na fonte; verificar SKU</x:v>
      </x:c>
      <x:c r="K166" s="10" t="str">
        <x:v>54S CEAT / 54H Pirelli</x:v>
      </x:c>
      <x:c r="L166" s="10" t="str">
        <x:v>ND</x:v>
      </x:c>
      <x:c r="M166" s="10" t="str">
        <x:v>Medida confirmada na fonte</x:v>
      </x:c>
      <x:c r="N166" s="10" t="str">
        <x:v>S050</x:v>
      </x:c>
      <x:c r="O166" s="10" t="str">
        <x:v>Única referência nesta ficha</x:v>
      </x:c>
      <x:c r="P166" s="10" t="str">
        <x:v>PDF p.37. Índice dianteiro varia conforme pneu listado no manual; não misturar os pares sem conferir especificação.</x:v>
      </x:c>
      <x:c r="Q166" s="10" t="str">
        <x:v>M057</x:v>
      </x:c>
    </x:row>
    <x:row r="167" ht="48" customHeight="1">
      <x:c r="A167" s="14" t="n">
        <x:v>21</x:v>
      </x:c>
      <x:c r="B167" s="12" t="str">
        <x:v>90/90-21</x:v>
      </x:c>
      <x:c r="C167" s="9" t="str">
        <x:v>Dianteiro</x:v>
      </x:c>
      <x:c r="D167" s="9" t="str">
        <x:v>Royal Enfield</x:v>
      </x:c>
      <x:c r="E167" s="9" t="str">
        <x:v>Himalayan 450</x:v>
      </x:c>
      <x:c r="F167" s="9" t="str">
        <x:v>Não delimitado na fonte</x:v>
      </x:c>
      <x:c r="G167" s="14" t="n">
        <x:v>90</x:v>
      </x:c>
      <x:c r="H167" s="14" t="n">
        <x:v>90</x:v>
      </x:c>
      <x:c r="I167" s="16"/>
      <x:c r="J167" s="9" t="str">
        <x:v>Hífen na fonte; verificar SKU</x:v>
      </x:c>
      <x:c r="K167" s="9" t="str">
        <x:v>54H</x:v>
      </x:c>
      <x:c r="L167" s="9" t="str">
        <x:v>Depende da versão do aro</x:v>
      </x:c>
      <x:c r="M167" s="9" t="str">
        <x:v>Medida confirmada na fonte</x:v>
      </x:c>
      <x:c r="N167" s="9" t="str">
        <x:v>S051</x:v>
      </x:c>
      <x:c r="O167" s="9" t="str">
        <x:v>Única referência nesta ficha</x:v>
      </x:c>
      <x:c r="P167" s="9" t="str">
        <x:v>PDF p.17. Montagem depende do aro; conferir versão antes de escolher câmara/sem câmara.</x:v>
      </x:c>
      <x:c r="Q167" s="9" t="str">
        <x:v>M058</x:v>
      </x:c>
    </x:row>
    <x:row r="168" ht="48" customHeight="1">
      <x:c r="A168" s="15" t="n">
        <x:v>21</x:v>
      </x:c>
      <x:c r="B168" s="13" t="str">
        <x:v>90/90-21</x:v>
      </x:c>
      <x:c r="C168" s="10" t="str">
        <x:v>Dianteiro</x:v>
      </x:c>
      <x:c r="D168" s="10" t="str">
        <x:v>Suzuki</x:v>
      </x:c>
      <x:c r="E168" s="10" t="str">
        <x:v>V-Strom 800DE</x:v>
      </x:c>
      <x:c r="F168" s="10" t="str">
        <x:v>Não delimitado na fonte</x:v>
      </x:c>
      <x:c r="G168" s="15" t="n">
        <x:v>90</x:v>
      </x:c>
      <x:c r="H168" s="15" t="n">
        <x:v>90</x:v>
      </x:c>
      <x:c r="I168" s="17"/>
      <x:c r="J168" s="10" t="str">
        <x:v>Hífen na fonte; verificar SKU</x:v>
      </x:c>
      <x:c r="K168" s="10" t="str">
        <x:v>ND</x:v>
      </x:c>
      <x:c r="L168" s="10" t="str">
        <x:v>Com câmara</x:v>
      </x:c>
      <x:c r="M168" s="10" t="str">
        <x:v>Medida confirmada na fonte</x:v>
      </x:c>
      <x:c r="N168" s="10" t="str">
        <x:v>S041</x:v>
      </x:c>
      <x:c r="O168" s="10" t="str">
        <x:v>Única referência nesta ficha</x:v>
      </x:c>
      <x:c r="P168" s="10" t="str">
        <x:v>Ficha brasileira declara câmara nos dois eixos, inclusive no traseiro radial.</x:v>
      </x:c>
      <x:c r="Q168" s="10" t="str">
        <x:v>M043</x:v>
      </x:c>
    </x:row>
    <x:row r="169" ht="48" customHeight="1">
      <x:c r="A169" s="14" t="n">
        <x:v>21</x:v>
      </x:c>
      <x:c r="B169" s="12" t="str">
        <x:v>90/90-21</x:v>
      </x:c>
      <x:c r="C169" s="9" t="str">
        <x:v>Dianteiro</x:v>
      </x:c>
      <x:c r="D169" s="9" t="str">
        <x:v>Triumph</x:v>
      </x:c>
      <x:c r="E169" s="9" t="str">
        <x:v>Scrambler 1200 X / XE</x:v>
      </x:c>
      <x:c r="F169" s="9" t="str">
        <x:v>Não delimitado na fonte</x:v>
      </x:c>
      <x:c r="G169" s="14" t="n">
        <x:v>90</x:v>
      </x:c>
      <x:c r="H169" s="14" t="n">
        <x:v>90</x:v>
      </x:c>
      <x:c r="I169" s="16"/>
      <x:c r="J169" s="9" t="str">
        <x:v>Hífen na fonte; verificar SKU</x:v>
      </x:c>
      <x:c r="K169" s="9" t="str">
        <x:v>ND</x:v>
      </x:c>
      <x:c r="L169" s="9" t="str">
        <x:v>ND</x:v>
      </x:c>
      <x:c r="M169" s="9" t="str">
        <x:v>Medida confirmada na fonte</x:v>
      </x:c>
      <x:c r="N169" s="9" t="str">
        <x:v>S077</x:v>
      </x:c>
      <x:c r="O169" s="9" t="str">
        <x:v>Única referência nesta ficha</x:v>
      </x:c>
      <x:c r="P169" s="9" t="str"/>
      <x:c r="Q169" s="9" t="str">
        <x:v>M083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17f43c6b1c8447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35" hidden="0" customWidth="1"/>
    <x:col min="3" max="3" width="32" hidden="0" customWidth="1"/>
    <x:col min="4" max="4" width="77" hidden="0" customWidth="1"/>
    <x:col min="5" max="5" width="105" hidden="0" customWidth="1"/>
    <x:col min="6" max="6" width="16" hidden="0" customWidth="1"/>
  </x:cols>
  <x:sheetData>
    <x:row r="1" ht="34" customHeight="1">
      <x:c r="A1" s="5" t="str">
        <x:v>FAREJADOR | Rastreabilidade da pesquisa</x:v>
      </x:c>
      <x:c r="B1" s="4"/>
      <x:c r="C1" s="4"/>
      <x:c r="D1" s="4"/>
      <x:c r="E1" s="4"/>
      <x:c r="F1" s="4"/>
    </x:row>
    <x:row r="2" ht="36" customHeight="1">
      <x:c r="A2" s="6" t="str">
        <x:v>Fontes públicas primárias consultadas em 06/09/2026. Fonte internacional e seletor de reposição não equivalem a homologação brasileira.</x:v>
      </x:c>
      <x:c r="B2" s="6"/>
      <x:c r="C2" s="6"/>
      <x:c r="D2" s="6"/>
      <x:c r="E2" s="6"/>
      <x:c r="F2" s="6"/>
    </x:row>
    <x:row r="3">
      <x:c r="A3" s="3"/>
      <x:c r="B3" s="3"/>
      <x:c r="C3" s="3"/>
      <x:c r="D3" s="3"/>
      <x:c r="E3" s="3"/>
      <x:c r="F3" s="3"/>
    </x:row>
    <x:row r="4" ht="30" customHeight="1">
      <x:c r="A4" s="8" t="str">
        <x:v>Fonte</x:v>
      </x:c>
      <x:c r="B4" s="8" t="str">
        <x:v>Tipo de documento</x:v>
      </x:c>
      <x:c r="C4" s="8" t="str">
        <x:v>Mercado / escopo</x:v>
      </x:c>
      <x:c r="D4" s="8" t="str">
        <x:v>Modelos referenciados</x:v>
      </x:c>
      <x:c r="E4" s="8" t="str">
        <x:v>URL pública</x:v>
      </x:c>
      <x:c r="F4" s="8" t="str">
        <x:v>Consulta</x:v>
      </x:c>
    </x:row>
    <x:row r="5" ht="70" customHeight="1">
      <x:c r="A5" s="9" t="str">
        <x:v>S001</x:v>
      </x:c>
      <x:c r="B5" s="9" t="str">
        <x:v>Fabricante — manual oficial</x:v>
      </x:c>
      <x:c r="C5" s="9" t="str">
        <x:v>Brasil</x:v>
      </x:c>
      <x:c r="D5" s="9" t="str">
        <x:v>Honda CG 150 Titan ESD / EX (2015)</x:v>
      </x:c>
      <x:c r="E5" s="18" t="str">
        <x:v>https://www.honda.com.br/pos-venda/motos/sites/customer_service_motos/files/manuais/CG%20150%20Titan%202015.pdf</x:v>
      </x:c>
      <x:c r="F5" s="9" t="str">
        <x:v>06/09/2026</x:v>
      </x:c>
    </x:row>
    <x:row r="6" ht="70" customHeight="1">
      <x:c r="A6" s="10" t="str">
        <x:v>S002</x:v>
      </x:c>
      <x:c r="B6" s="10" t="str">
        <x:v>Fabricante — manual oficial</x:v>
      </x:c>
      <x:c r="C6" s="10" t="str">
        <x:v>Brasil</x:v>
      </x:c>
      <x:c r="D6" s="10" t="str">
        <x:v>Honda CG 150 Fan ESDi (2015)</x:v>
      </x:c>
      <x:c r="E6" s="19" t="str">
        <x:v>https://www.honda.com.br/pos-venda/sites/customer_service_motos/files/manuais/CG%20150%20Fan%202015.pdf</x:v>
      </x:c>
      <x:c r="F6" s="10" t="str">
        <x:v>06/09/2026</x:v>
      </x:c>
    </x:row>
    <x:row r="7" ht="70" customHeight="1">
      <x:c r="A7" s="9" t="str">
        <x:v>S003</x:v>
      </x:c>
      <x:c r="B7" s="9" t="str">
        <x:v>Fabricante — manual oficial</x:v>
      </x:c>
      <x:c r="C7" s="9" t="str">
        <x:v>Brasil</x:v>
      </x:c>
      <x:c r="D7" s="9" t="str">
        <x:v>Honda CG 150 Sport (2005)</x:v>
      </x:c>
      <x:c r="E7" s="18" t="str">
        <x:v>https://www.honda.com.br/pos-venda/motos/sites/customer_service_motos/files/manuais/CG%20150%20Titan%2C%20Sport%20e%20Job%202005.pdf</x:v>
      </x:c>
      <x:c r="F7" s="9" t="str">
        <x:v>06/09/2026</x:v>
      </x:c>
    </x:row>
    <x:row r="8" ht="70" customHeight="1">
      <x:c r="A8" s="10" t="str">
        <x:v>S004</x:v>
      </x:c>
      <x:c r="B8" s="10" t="str">
        <x:v>Fabricante — manual oficial</x:v>
      </x:c>
      <x:c r="C8" s="10" t="str">
        <x:v>Brasil</x:v>
      </x:c>
      <x:c r="D8" s="10" t="str">
        <x:v>Honda CG 160 Fan (2019–2020); Honda CG 160 Titan (2019–2020)</x:v>
      </x:c>
      <x:c r="E8" s="19" t="str">
        <x:v>https://www.honda.com.br/pos-venda/sites/customer_service_motos/files/manuais/MP%20CG%20160%20FAN-CG%20160%20TITAN%20%282019~2020%29%20D2203-MAN-1185_WEB.pdf</x:v>
      </x:c>
      <x:c r="F8" s="10" t="str">
        <x:v>06/09/2026</x:v>
      </x:c>
    </x:row>
    <x:row r="9" ht="70" customHeight="1">
      <x:c r="A9" s="9" t="str">
        <x:v>S005</x:v>
      </x:c>
      <x:c r="B9" s="9" t="str">
        <x:v>Fabricante — ficha oficial</x:v>
      </x:c>
      <x:c r="C9" s="9" t="str">
        <x:v>Brasil</x:v>
      </x:c>
      <x:c r="D9" s="9" t="str">
        <x:v>Honda CG 160 Start (2026)</x:v>
      </x:c>
      <x:c r="E9" s="18" t="str">
        <x:v>https://www.honda.com.br/motos/street/city/cg-160-start</x:v>
      </x:c>
      <x:c r="F9" s="9" t="str">
        <x:v>06/09/2026</x:v>
      </x:c>
    </x:row>
    <x:row r="10" ht="70" customHeight="1">
      <x:c r="A10" s="10" t="str">
        <x:v>S006</x:v>
      </x:c>
      <x:c r="B10" s="10" t="str">
        <x:v>Fabricante — manual oficial</x:v>
      </x:c>
      <x:c r="C10" s="10" t="str">
        <x:v>Brasil</x:v>
      </x:c>
      <x:c r="D10" s="10" t="str">
        <x:v>Honda CB 250F Twister ABS / CBS (2019)</x:v>
      </x:c>
      <x:c r="E10" s="19" t="str">
        <x:v>https://www.honda.com.br/pos-venda/sites/customer_service_motos/files/manuais/MP%20CB250F%20Twister%20%282019%29%20D2203-MAN-1188_WEB.pdf</x:v>
      </x:c>
      <x:c r="F10" s="10" t="str">
        <x:v>06/09/2026</x:v>
      </x:c>
    </x:row>
    <x:row r="11" ht="70" customHeight="1">
      <x:c r="A11" s="9" t="str">
        <x:v>S007</x:v>
      </x:c>
      <x:c r="B11" s="9" t="str">
        <x:v>Fabricante — manual oficial</x:v>
      </x:c>
      <x:c r="C11" s="9" t="str">
        <x:v>Brasil</x:v>
      </x:c>
      <x:c r="D11" s="9" t="str">
        <x:v>Honda CB 300F Twister ABS / CBS (2025–2026)</x:v>
      </x:c>
      <x:c r="E11" s="18" t="str">
        <x:v>https://www.honda.com.br/pos-venda/motos/sites/customer_service_motos/files/manuais/MP%20CB%20300F%20Twister%20ABS-CBS%20%282025~2026%29%20D2203-MAN-1368_WEB.pdf</x:v>
      </x:c>
      <x:c r="F11" s="9" t="str">
        <x:v>06/09/2026</x:v>
      </x:c>
    </x:row>
    <x:row r="12" ht="70" customHeight="1">
      <x:c r="A12" s="10" t="str">
        <x:v>S008</x:v>
      </x:c>
      <x:c r="B12" s="10" t="str">
        <x:v>Fabricante — ficha oficial</x:v>
      </x:c>
      <x:c r="C12" s="10" t="str">
        <x:v>Brasil</x:v>
      </x:c>
      <x:c r="D12" s="10" t="str">
        <x:v>Honda NXR 160 Bros ABS / CBS (2026)</x:v>
      </x:c>
      <x:c r="E12" s="19" t="str">
        <x:v>https://www.honda.com.br/motos/adventure/trail/nxr-160-bros</x:v>
      </x:c>
      <x:c r="F12" s="10" t="str">
        <x:v>06/09/2026</x:v>
      </x:c>
    </x:row>
    <x:row r="13" ht="70" customHeight="1">
      <x:c r="A13" s="9" t="str">
        <x:v>S009</x:v>
      </x:c>
      <x:c r="B13" s="9" t="str">
        <x:v>Fabricante — comunicado oficial</x:v>
      </x:c>
      <x:c r="C13" s="9" t="str">
        <x:v>Brasil</x:v>
      </x:c>
      <x:c r="D13" s="9" t="str">
        <x:v>Honda Sahara 300 (2024)</x:v>
      </x:c>
      <x:c r="E13" s="18" t="str">
        <x:v>https://saladeimprensa.honda.com.br/releases/honda-xre-300-sahara-2024-design-moderno-com-estilo-aventureiro-em-uma-proposta-totalmente</x:v>
      </x:c>
      <x:c r="F13" s="9" t="str">
        <x:v>06/09/2026</x:v>
      </x:c>
    </x:row>
    <x:row r="14" ht="70" customHeight="1">
      <x:c r="A14" s="10" t="str">
        <x:v>S010</x:v>
      </x:c>
      <x:c r="B14" s="10" t="str">
        <x:v>Fabricante — comunicado oficial</x:v>
      </x:c>
      <x:c r="C14" s="10" t="str">
        <x:v>Brasil</x:v>
      </x:c>
      <x:c r="D14" s="10" t="str">
        <x:v>Honda Biz 125 ES (2025); Honda Biz 125 EX (2025)</x:v>
      </x:c>
      <x:c r="E14" s="19" t="str">
        <x:v>https://saladeimprensa.honda.com.br/releases/honda-biz-2025-motor-inedito-sistema-de-frenagem-aprimorado-evolucao-no-design-e-em</x:v>
      </x:c>
      <x:c r="F14" s="10" t="str">
        <x:v>06/09/2026</x:v>
      </x:c>
    </x:row>
    <x:row r="15" ht="70" customHeight="1">
      <x:c r="A15" s="9" t="str">
        <x:v>S011</x:v>
      </x:c>
      <x:c r="B15" s="9" t="str">
        <x:v>Fabricante — comunicado oficial</x:v>
      </x:c>
      <x:c r="C15" s="9" t="str">
        <x:v>Brasil</x:v>
      </x:c>
      <x:c r="D15" s="9" t="str">
        <x:v>Honda Pop 110i ES (2025)</x:v>
      </x:c>
      <x:c r="E15" s="18" t="str">
        <x:v>https://saladeimprensa.honda.com.br/releases/honda-pop-110i-es-2025-ainda-mais-pratica-nova-geracao-traz-motor-inedito-com-partida</x:v>
      </x:c>
      <x:c r="F15" s="9" t="str">
        <x:v>06/09/2026</x:v>
      </x:c>
    </x:row>
    <x:row r="16" ht="70" customHeight="1">
      <x:c r="A16" s="10" t="str">
        <x:v>S012</x:v>
      </x:c>
      <x:c r="B16" s="10" t="str">
        <x:v>Fabricante — comunicado oficial</x:v>
      </x:c>
      <x:c r="C16" s="10" t="str">
        <x:v>Brasil</x:v>
      </x:c>
      <x:c r="D16" s="10" t="str">
        <x:v>Honda Pop 110i ES (2027)</x:v>
      </x:c>
      <x:c r="E16" s="19" t="str">
        <x:v>https://saladeimprensa.honda.com.br/releases/honda-pop110i-es-2027-ainda-mais-pratica-e-facil-de-pilotar-renovada-no-visual-preserva</x:v>
      </x:c>
      <x:c r="F16" s="10" t="str">
        <x:v>06/09/2026</x:v>
      </x:c>
    </x:row>
    <x:row r="17" ht="70" customHeight="1">
      <x:c r="A17" s="9" t="str">
        <x:v>S013</x:v>
      </x:c>
      <x:c r="B17" s="9" t="str">
        <x:v>Fabricante — comunicado oficial</x:v>
      </x:c>
      <x:c r="C17" s="9" t="str">
        <x:v>Brasil</x:v>
      </x:c>
      <x:c r="D17" s="9" t="str">
        <x:v>Honda PCX 150 CBS / ABS / DLX / Sport (2022)</x:v>
      </x:c>
      <x:c r="E17" s="18" t="str">
        <x:v>https://prodsalaimp.honda.com.br/releases/honda-pcx-2022-scooter-preferida-dos-brasileiros-chega-com-novas-cores-e-grafismos-pronta</x:v>
      </x:c>
      <x:c r="F17" s="9" t="str">
        <x:v>06/09/2026</x:v>
      </x:c>
    </x:row>
    <x:row r="18" ht="70" customHeight="1">
      <x:c r="A18" s="10" t="str">
        <x:v>S014</x:v>
      </x:c>
      <x:c r="B18" s="10" t="str">
        <x:v>Fabricante — comunicado oficial</x:v>
      </x:c>
      <x:c r="C18" s="10" t="str">
        <x:v>Brasil</x:v>
      </x:c>
      <x:c r="D18" s="10" t="str">
        <x:v>Honda PCX 160 (2023)</x:v>
      </x:c>
      <x:c r="E18" s="19" t="str">
        <x:v>https://www.honda.com.br/motos/blog/grandes-novidades-honda-nova-geracao-da-scooter-pcx</x:v>
      </x:c>
      <x:c r="F18" s="10" t="str">
        <x:v>06/09/2026</x:v>
      </x:c>
    </x:row>
    <x:row r="19" ht="70" customHeight="1">
      <x:c r="A19" s="9" t="str">
        <x:v>S015</x:v>
      </x:c>
      <x:c r="B19" s="9" t="str">
        <x:v>Fabricante — comunicado oficial</x:v>
      </x:c>
      <x:c r="C19" s="9" t="str">
        <x:v>Brasil</x:v>
      </x:c>
      <x:c r="D19" s="9" t="str">
        <x:v>Honda ADV 160 (2025)</x:v>
      </x:c>
      <x:c r="E19" s="18" t="str">
        <x:v>https://prodsalaimp.honda.com.br/releases/honda-adv-160-2025-nova-geracao-traz-motor-mais-potente-alem-de-ampla-evolucao-tecnica-e</x:v>
      </x:c>
      <x:c r="F19" s="9" t="str">
        <x:v>06/09/2026</x:v>
      </x:c>
    </x:row>
    <x:row r="20" ht="70" customHeight="1">
      <x:c r="A20" s="10" t="str">
        <x:v>S016</x:v>
      </x:c>
      <x:c r="B20" s="10" t="str">
        <x:v>Fabricante — comunicado oficial</x:v>
      </x:c>
      <x:c r="C20" s="10" t="str">
        <x:v>Brasil</x:v>
      </x:c>
      <x:c r="D20" s="10" t="str">
        <x:v>Honda Elite 125 (2025)</x:v>
      </x:c>
      <x:c r="E20" s="19" t="str">
        <x:v>https://prodsalaimp.honda.com.br/releases/honda-elite-125-2025-scooter-lider-de-sua-categoria-chega-2a-geracao-com-novo-motor-e</x:v>
      </x:c>
      <x:c r="F20" s="10" t="str">
        <x:v>06/09/2026</x:v>
      </x:c>
    </x:row>
    <x:row r="21" ht="70" customHeight="1">
      <x:c r="A21" s="9" t="str">
        <x:v>S017</x:v>
      </x:c>
      <x:c r="B21" s="9" t="str">
        <x:v>Fabricante — manual oficial</x:v>
      </x:c>
      <x:c r="C21" s="9" t="str">
        <x:v>Brasil</x:v>
      </x:c>
      <x:c r="D21" s="9" t="str">
        <x:v>Honda SH 150i (2018)</x:v>
      </x:c>
      <x:c r="E21" s="18" t="str">
        <x:v>https://www.honda.com.br/pos-venda/sites/customer_service_motos/files/manuais/MP%20SH150i%20%282018%29%20D2203-MAN-1146_WEB.pdf</x:v>
      </x:c>
      <x:c r="F21" s="9" t="str">
        <x:v>06/09/2026</x:v>
      </x:c>
    </x:row>
    <x:row r="22" ht="70" customHeight="1">
      <x:c r="A22" s="10" t="str">
        <x:v>S018</x:v>
      </x:c>
      <x:c r="B22" s="10" t="str">
        <x:v>Fabricante — manual oficial</x:v>
      </x:c>
      <x:c r="C22" s="10" t="str">
        <x:v>Brasil</x:v>
      </x:c>
      <x:c r="D22" s="10" t="str">
        <x:v>Honda NC 750X (2016)</x:v>
      </x:c>
      <x:c r="E22" s="19" t="str">
        <x:v>https://www.honda.com.br/sites/cbw/files/2016-08/NC%20750X%202016.pdf</x:v>
      </x:c>
      <x:c r="F22" s="10" t="str">
        <x:v>06/09/2026</x:v>
      </x:c>
    </x:row>
    <x:row r="23" ht="70" customHeight="1">
      <x:c r="A23" s="9" t="str">
        <x:v>S019</x:v>
      </x:c>
      <x:c r="B23" s="9" t="str">
        <x:v>Fabricante — ficha oficial</x:v>
      </x:c>
      <x:c r="C23" s="9" t="str">
        <x:v>Brasil</x:v>
      </x:c>
      <x:c r="D23" s="9" t="str">
        <x:v>Honda CB 650R E-Clutch (2026)</x:v>
      </x:c>
      <x:c r="E23" s="18" t="str">
        <x:v>https://www.honda.com.br/motos/street/naked/cb650r?model=cb-650r</x:v>
      </x:c>
      <x:c r="F23" s="9" t="str">
        <x:v>06/09/2026</x:v>
      </x:c>
    </x:row>
    <x:row r="24" ht="70" customHeight="1">
      <x:c r="A24" s="10" t="str">
        <x:v>S020</x:v>
      </x:c>
      <x:c r="B24" s="10" t="str">
        <x:v>Fabricante — manual oficial</x:v>
      </x:c>
      <x:c r="C24" s="10" t="str">
        <x:v>Brasil</x:v>
      </x:c>
      <x:c r="D24" s="10" t="str">
        <x:v>Yamaha Crosser 150 (2022)</x:v>
      </x:c>
      <x:c r="E24" s="19" t="str">
        <x:v>https://www.yamaha-motor.com.br/file/general/manual_crosser150_2022.pdf</x:v>
      </x:c>
      <x:c r="F24" s="10" t="str">
        <x:v>06/09/2026</x:v>
      </x:c>
    </x:row>
    <x:row r="25" ht="70" customHeight="1">
      <x:c r="A25" s="9" t="str">
        <x:v>S021</x:v>
      </x:c>
      <x:c r="B25" s="9" t="str">
        <x:v>Fabricante — manual oficial</x:v>
      </x:c>
      <x:c r="C25" s="9" t="str">
        <x:v>Brasil</x:v>
      </x:c>
      <x:c r="D25" s="9" t="str">
        <x:v>Yamaha NMAX 160 (2022)</x:v>
      </x:c>
      <x:c r="E25" s="18" t="str">
        <x:v>https://www3.yamaha-motor.com.br/file/general/MP.2022.NMAX.B3V.1ED.W1.pdf</x:v>
      </x:c>
      <x:c r="F25" s="9" t="str">
        <x:v>06/09/2026</x:v>
      </x:c>
    </x:row>
    <x:row r="26" ht="70" customHeight="1">
      <x:c r="A26" s="10" t="str">
        <x:v>S022</x:v>
      </x:c>
      <x:c r="B26" s="10" t="str">
        <x:v>Fabricante — catálogo de peças</x:v>
      </x:c>
      <x:c r="C26" s="10" t="str">
        <x:v>Brasil</x:v>
      </x:c>
      <x:c r="D26" s="10" t="str">
        <x:v>Yamaha Factor 150 ED (2022)</x:v>
      </x:c>
      <x:c r="E26" s="19" t="str">
        <x:v>https://www.yamaha-motor.com.br/file/general/catalogo_factor150ed_2022.pdf</x:v>
      </x:c>
      <x:c r="F26" s="10" t="str">
        <x:v>06/09/2026</x:v>
      </x:c>
    </x:row>
    <x:row r="27" ht="70" customHeight="1">
      <x:c r="A27" s="9" t="str">
        <x:v>S023</x:v>
      </x:c>
      <x:c r="B27" s="9" t="str">
        <x:v>Fabricante de pneus — aplicação de reposição</x:v>
      </x:c>
      <x:c r="C27" s="9" t="str">
        <x:v>Brasil</x:v>
      </x:c>
      <x:c r="D27" s="9" t="str">
        <x:v>Yamaha FZ25 (2022)</x:v>
      </x:c>
      <x:c r="E27" s="18" t="str">
        <x:v>https://www.michelin.com.br/motorbike/browse-tyres/by-vehicle/yamaha/fz25/2022/249/100---80-17-52P-F-TL_140---70-17-66S-R-TL</x:v>
      </x:c>
      <x:c r="F27" s="9" t="str">
        <x:v>06/09/2026</x:v>
      </x:c>
    </x:row>
    <x:row r="28" ht="70" customHeight="1">
      <x:c r="A28" s="10" t="str">
        <x:v>S024</x:v>
      </x:c>
      <x:c r="B28" s="10" t="str">
        <x:v>Fabricante — ficha oficial</x:v>
      </x:c>
      <x:c r="C28" s="10" t="str">
        <x:v>Brasil</x:v>
      </x:c>
      <x:c r="D28" s="10" t="str">
        <x:v>Yamaha R15 ABS (2026)</x:v>
      </x:c>
      <x:c r="E28" s="19" t="str">
        <x:v>https://www.yamaha-motor.com.br/product/r15-abs-151514</x:v>
      </x:c>
      <x:c r="F28" s="10" t="str">
        <x:v>06/09/2026</x:v>
      </x:c>
    </x:row>
    <x:row r="29" ht="70" customHeight="1">
      <x:c r="A29" s="9" t="str">
        <x:v>S025</x:v>
      </x:c>
      <x:c r="B29" s="9" t="str">
        <x:v>Fabricante — comunicado oficial</x:v>
      </x:c>
      <x:c r="C29" s="9" t="str">
        <x:v>Brasil</x:v>
      </x:c>
      <x:c r="D29" s="9" t="str">
        <x:v>Yamaha Aerox ABS Connected (2026)</x:v>
      </x:c>
      <x:c r="E29" s="18" t="str">
        <x:v>https://www.yamaha-motor.com.br/noticia/166/yamaha-tem-condicoes-especiais-para-a-nova-aerox-abs-connected-neste-sabado-07-03-2026</x:v>
      </x:c>
      <x:c r="F29" s="9" t="str">
        <x:v>06/09/2026</x:v>
      </x:c>
    </x:row>
    <x:row r="30" ht="70" customHeight="1">
      <x:c r="A30" s="10" t="str">
        <x:v>S026</x:v>
      </x:c>
      <x:c r="B30" s="10" t="str">
        <x:v>Fabricante — comunicado oficial</x:v>
      </x:c>
      <x:c r="C30" s="10" t="str">
        <x:v>Brasil</x:v>
      </x:c>
      <x:c r="D30" s="10" t="str">
        <x:v>Yamaha ZR Hybrid Connected (2026)</x:v>
      </x:c>
      <x:c r="E30" s="19" t="str">
        <x:v>https://www.yamaha-motor.com.br/noticia/174/nova-yamaha-zr-hybrid-connected-e-lancada-no-brasil</x:v>
      </x:c>
      <x:c r="F30" s="10" t="str">
        <x:v>06/09/2026</x:v>
      </x:c>
    </x:row>
    <x:row r="31" ht="70" customHeight="1">
      <x:c r="A31" s="9" t="str">
        <x:v>S027</x:v>
      </x:c>
      <x:c r="B31" s="9" t="str">
        <x:v>Fabricante — ficha oficial</x:v>
      </x:c>
      <x:c r="C31" s="9" t="str">
        <x:v>Brasil</x:v>
      </x:c>
      <x:c r="D31" s="9" t="str">
        <x:v>Yamaha XMAX 300 Connected (2026)</x:v>
      </x:c>
      <x:c r="E31" s="18" t="str">
        <x:v>https://www.yamaha-motor.com.br/product/nova-xmax-300-connected-155942</x:v>
      </x:c>
      <x:c r="F31" s="9" t="str">
        <x:v>06/09/2026</x:v>
      </x:c>
    </x:row>
    <x:row r="32" ht="70" customHeight="1">
      <x:c r="A32" s="10" t="str">
        <x:v>S028</x:v>
      </x:c>
      <x:c r="B32" s="10" t="str">
        <x:v>Fabricante — comunicado oficial</x:v>
      </x:c>
      <x:c r="C32" s="10" t="str">
        <x:v>Exterior — validar versão brasileira</x:v>
      </x:c>
      <x:c r="D32" s="10" t="str">
        <x:v>Yamaha XMAX 250 (2021 — Japão)</x:v>
      </x:c>
      <x:c r="E32" s="19" t="str">
        <x:v>https://global.yamaha-motor.com/jp/news/2021/0602/xmax.html</x:v>
      </x:c>
      <x:c r="F32" s="10" t="str">
        <x:v>06/09/2026</x:v>
      </x:c>
    </x:row>
    <x:row r="33" ht="70" customHeight="1">
      <x:c r="A33" s="9" t="str">
        <x:v>S029</x:v>
      </x:c>
      <x:c r="B33" s="9" t="str">
        <x:v>Fabricante — comunicado oficial</x:v>
      </x:c>
      <x:c r="C33" s="9" t="str">
        <x:v>Exterior — validar versão brasileira</x:v>
      </x:c>
      <x:c r="D33" s="9" t="str">
        <x:v>Yamaha MT-07 (2021 — Japão)</x:v>
      </x:c>
      <x:c r="E33" s="18" t="str">
        <x:v>https://global.yamaha-motor.com/jp/news/2021/0622/mt-07.html</x:v>
      </x:c>
      <x:c r="F33" s="9" t="str">
        <x:v>06/09/2026</x:v>
      </x:c>
    </x:row>
    <x:row r="34" ht="70" customHeight="1">
      <x:c r="A34" s="10" t="str">
        <x:v>S030</x:v>
      </x:c>
      <x:c r="B34" s="10" t="str">
        <x:v>Fabricante — manual oficial</x:v>
      </x:c>
      <x:c r="C34" s="10" t="str">
        <x:v>Brasil</x:v>
      </x:c>
      <x:c r="D34" s="10" t="str">
        <x:v>Suzuki Burgman 125i (Não delimitado na fonte)</x:v>
      </x:c>
      <x:c r="E34" s="19" t="str">
        <x:v>https://assets.suzukimotos.com.br/storage/manual-proprietario/MANUAL-DO-PROPRIETARIO-SUZUKI-BurgmanI.pdf</x:v>
      </x:c>
      <x:c r="F34" s="10" t="str">
        <x:v>06/09/2026</x:v>
      </x:c>
    </x:row>
    <x:row r="35" ht="70" customHeight="1">
      <x:c r="A35" s="9" t="str">
        <x:v>S031</x:v>
      </x:c>
      <x:c r="B35" s="9" t="str">
        <x:v>Fabricante de pneus — aplicação de reposição</x:v>
      </x:c>
      <x:c r="C35" s="9" t="str">
        <x:v>Brasil</x:v>
      </x:c>
      <x:c r="D35" s="9" t="str">
        <x:v>Suzuki Burgman 400 (2007)</x:v>
      </x:c>
      <x:c r="E35" s="18" t="str">
        <x:v>https://www.michelin.com.br/motorbike/browse-tyres/by-vehicle/suzuki/burgman-400/2007/400/120---80-14-M---C-58S-F-TL_150---70-13-M---C-64S-R-TL</x:v>
      </x:c>
      <x:c r="F35" s="9" t="str">
        <x:v>06/09/2026</x:v>
      </x:c>
    </x:row>
    <x:row r="36" ht="70" customHeight="1">
      <x:c r="A36" s="10" t="str">
        <x:v>S032</x:v>
      </x:c>
      <x:c r="B36" s="10" t="str">
        <x:v>Fabricante — ficha oficial</x:v>
      </x:c>
      <x:c r="C36" s="10" t="str">
        <x:v>Exterior — validar versão brasileira</x:v>
      </x:c>
      <x:c r="D36" s="10" t="str">
        <x:v>Suzuki Burgman 400 (2025 — EUA)</x:v>
      </x:c>
      <x:c r="E36" s="19" t="str">
        <x:v>https://cycles.aws-prod.suzuki.com/-/media/project/cycles/files/product-brochures/2025/scooter/2025scooterburgman400osr30.pdf</x:v>
      </x:c>
      <x:c r="F36" s="10" t="str">
        <x:v>06/09/2026</x:v>
      </x:c>
    </x:row>
    <x:row r="37" ht="70" customHeight="1">
      <x:c r="A37" s="9" t="str">
        <x:v>S033</x:v>
      </x:c>
      <x:c r="B37" s="9" t="str">
        <x:v>Fabricante — manual oficial</x:v>
      </x:c>
      <x:c r="C37" s="9" t="str">
        <x:v>Brasil</x:v>
      </x:c>
      <x:c r="D37" s="9" t="str">
        <x:v>Suzuki Burgman 650 EX (Não delimitado na fonte)</x:v>
      </x:c>
      <x:c r="E37" s="18" t="str">
        <x:v>https://suzukimotos.com.br/storage/manual-proprietario/MANUAL-DO-PROPRIETARIO-SUZUKI-BURGMAN650EX-REV1.pdf</x:v>
      </x:c>
      <x:c r="F37" s="9" t="str">
        <x:v>06/09/2026</x:v>
      </x:c>
    </x:row>
    <x:row r="38" ht="70" customHeight="1">
      <x:c r="A38" s="10" t="str">
        <x:v>S034</x:v>
      </x:c>
      <x:c r="B38" s="10" t="str">
        <x:v>Fabricante — ficha oficial</x:v>
      </x:c>
      <x:c r="C38" s="10" t="str">
        <x:v>Exterior — validar versão brasileira</x:v>
      </x:c>
      <x:c r="D38" s="10" t="str">
        <x:v>Suzuki Boulevard M50 / Intruder M800 (2005 — arquivo global)</x:v>
      </x:c>
      <x:c r="E38" s="19" t="str">
        <x:v>https://www.globalsuzuki.com/motorcycle/smgs/digital-archive/2_bike/cruiser_092.php</x:v>
      </x:c>
      <x:c r="F38" s="10" t="str">
        <x:v>06/09/2026</x:v>
      </x:c>
    </x:row>
    <x:row r="39" ht="70" customHeight="1">
      <x:c r="A39" s="9" t="str">
        <x:v>S035</x:v>
      </x:c>
      <x:c r="B39" s="9" t="str">
        <x:v>Fabricante — manual oficial</x:v>
      </x:c>
      <x:c r="C39" s="9" t="str">
        <x:v>Brasil</x:v>
      </x:c>
      <x:c r="D39" s="9" t="str">
        <x:v>Suzuki GSX-S1000 (Não delimitado na fonte)</x:v>
      </x:c>
      <x:c r="E39" s="18" t="str">
        <x:v>https://assets.suzukimotos.com.br/storage/manual-proprietario/MANUAL-DO-PROPRIETARIO-SUZUKI-GSX-S1000.pdf</x:v>
      </x:c>
      <x:c r="F39" s="9" t="str">
        <x:v>06/09/2026</x:v>
      </x:c>
    </x:row>
    <x:row r="40" ht="70" customHeight="1">
      <x:c r="A40" s="10" t="str">
        <x:v>S036</x:v>
      </x:c>
      <x:c r="B40" s="10" t="str">
        <x:v>Fabricante — ficha oficial</x:v>
      </x:c>
      <x:c r="C40" s="10" t="str">
        <x:v>Brasil</x:v>
      </x:c>
      <x:c r="D40" s="10" t="str">
        <x:v>Suzuki GSX-S1000 GT (Não delimitado na fonte)</x:v>
      </x:c>
      <x:c r="E40" s="19" t="str">
        <x:v>https://suzukimotos.com.br/gsx-s1000-gt</x:v>
      </x:c>
      <x:c r="F40" s="10" t="str">
        <x:v>06/09/2026</x:v>
      </x:c>
    </x:row>
    <x:row r="41" ht="70" customHeight="1">
      <x:c r="A41" s="9" t="str">
        <x:v>S037</x:v>
      </x:c>
      <x:c r="B41" s="9" t="str">
        <x:v>Fabricante — ficha oficial</x:v>
      </x:c>
      <x:c r="C41" s="9" t="str">
        <x:v>Brasil</x:v>
      </x:c>
      <x:c r="D41" s="9" t="str">
        <x:v>Suzuki GSX-S1000 GX (Não delimitado na fonte)</x:v>
      </x:c>
      <x:c r="E41" s="18" t="str">
        <x:v>https://suzukimotos.com.br/gsx-s1000gx</x:v>
      </x:c>
      <x:c r="F41" s="9" t="str">
        <x:v>06/09/2026</x:v>
      </x:c>
    </x:row>
    <x:row r="42" ht="70" customHeight="1">
      <x:c r="A42" s="10" t="str">
        <x:v>S038</x:v>
      </x:c>
      <x:c r="B42" s="10" t="str">
        <x:v>Fabricante — catálogo oficial</x:v>
      </x:c>
      <x:c r="C42" s="10" t="str">
        <x:v>Brasil</x:v>
      </x:c>
      <x:c r="D42" s="10" t="str">
        <x:v>Suzuki GSX-R1000R ABS (Catálogo publicado em 2019)</x:v>
      </x:c>
      <x:c r="E42" s="19" t="str">
        <x:v>https://assets.suzukimotos.com.br/storage/catalogos/1---GSX-R1000.pdf</x:v>
      </x:c>
      <x:c r="F42" s="10" t="str">
        <x:v>06/09/2026</x:v>
      </x:c>
    </x:row>
    <x:row r="43" ht="70" customHeight="1">
      <x:c r="A43" s="9" t="str">
        <x:v>S039</x:v>
      </x:c>
      <x:c r="B43" s="9" t="str">
        <x:v>Fabricante — manual oficial</x:v>
      </x:c>
      <x:c r="C43" s="9" t="str">
        <x:v>Brasil</x:v>
      </x:c>
      <x:c r="D43" s="9" t="str">
        <x:v>Suzuki V-Strom 650A / 650XT (Não delimitado na fonte)</x:v>
      </x:c>
      <x:c r="E43" s="18" t="str">
        <x:v>https://suzukimotos.com.br/storage/manual-proprietario/MANUAL-DO-PROPRIETARIO-SUZUKI-V-Strom650AXT-v1.pdf</x:v>
      </x:c>
      <x:c r="F43" s="9" t="str">
        <x:v>06/09/2026</x:v>
      </x:c>
    </x:row>
    <x:row r="44" ht="70" customHeight="1">
      <x:c r="A44" s="10" t="str">
        <x:v>S040</x:v>
      </x:c>
      <x:c r="B44" s="10" t="str">
        <x:v>Fabricante — ficha oficial</x:v>
      </x:c>
      <x:c r="C44" s="10" t="str">
        <x:v>Brasil</x:v>
      </x:c>
      <x:c r="D44" s="10" t="str">
        <x:v>Suzuki GSX-8S (2026)</x:v>
      </x:c>
      <x:c r="E44" s="19" t="str">
        <x:v>https://suzukimotos.com.br/gsx-8s</x:v>
      </x:c>
      <x:c r="F44" s="10" t="str">
        <x:v>06/09/2026</x:v>
      </x:c>
    </x:row>
    <x:row r="45" ht="70" customHeight="1">
      <x:c r="A45" s="9" t="str">
        <x:v>S041</x:v>
      </x:c>
      <x:c r="B45" s="9" t="str">
        <x:v>Fabricante — ficha oficial</x:v>
      </x:c>
      <x:c r="C45" s="9" t="str">
        <x:v>Brasil</x:v>
      </x:c>
      <x:c r="D45" s="9" t="str">
        <x:v>Suzuki V-Strom 800DE (Não delimitado na fonte)</x:v>
      </x:c>
      <x:c r="E45" s="18" t="str">
        <x:v>https://suzukimotos.com.br/v-strom-800-de</x:v>
      </x:c>
      <x:c r="F45" s="9" t="str">
        <x:v>06/09/2026</x:v>
      </x:c>
    </x:row>
    <x:row r="46" ht="70" customHeight="1">
      <x:c r="A46" s="10" t="str">
        <x:v>S042</x:v>
      </x:c>
      <x:c r="B46" s="10" t="str">
        <x:v>Fabricante — comunicado oficial</x:v>
      </x:c>
      <x:c r="C46" s="10" t="str">
        <x:v>Brasil</x:v>
      </x:c>
      <x:c r="D46" s="10" t="str">
        <x:v>Bajaj Pulsar N150 (Produção anunciada em 30/04/2026); Bajaj Dominar 160 (Produção anunciada em 30/04/2026); Bajaj Dominar 200 (Produção anunciada em 30/04/2026); Bajaj Dominar 250 (Produção anunciada em 30/04/2026); Bajaj Dominar 400 (Produção anunciada em 30/04/2026); Bajaj Dominar NS400Z (Produção anunciada em 30/04/2026)</x:v>
      </x:c>
      <x:c r="E46" s="19" t="str">
        <x:v>https://bajaj.com.br/motos-bajaj-passam-a-sair-de-fabrica-com-pneus-pirelli/</x:v>
      </x:c>
      <x:c r="F46" s="10" t="str">
        <x:v>06/09/2026</x:v>
      </x:c>
    </x:row>
    <x:row r="47" ht="70" customHeight="1">
      <x:c r="A47" s="9" t="str">
        <x:v>S043</x:v>
      </x:c>
      <x:c r="B47" s="9" t="str">
        <x:v>Fabricante — manual oficial</x:v>
      </x:c>
      <x:c r="C47" s="9" t="str">
        <x:v>Brasil</x:v>
      </x:c>
      <x:c r="D47" s="9" t="str">
        <x:v>Mottu Sport ESD (Não delimitado na fonte)</x:v>
      </x:c>
      <x:c r="E47" s="18" t="str">
        <x:v>https://mottu.com.br/wp-content/uploads/2025/06/MANUAL_PROPRIETARIO_MOTTU-SPORT_ESD.pdf</x:v>
      </x:c>
      <x:c r="F47" s="9" t="str">
        <x:v>06/09/2026</x:v>
      </x:c>
    </x:row>
    <x:row r="48" ht="70" customHeight="1">
      <x:c r="A48" s="10" t="str">
        <x:v>S044</x:v>
      </x:c>
      <x:c r="B48" s="10" t="str">
        <x:v>Fabricante — ficha oficial</x:v>
      </x:c>
      <x:c r="C48" s="10" t="str">
        <x:v>Brasil</x:v>
      </x:c>
      <x:c r="D48" s="10" t="str">
        <x:v>Royal Enfield Hunter 350 (Não delimitado na fonte)</x:v>
      </x:c>
      <x:c r="E48" s="19" t="str">
        <x:v>https://www.royalenfield.com/br/pt/motorcycles/hunter-350/</x:v>
      </x:c>
      <x:c r="F48" s="10" t="str">
        <x:v>06/09/2026</x:v>
      </x:c>
    </x:row>
    <x:row r="49" ht="70" customHeight="1">
      <x:c r="A49" s="9" t="str">
        <x:v>S045</x:v>
      </x:c>
      <x:c r="B49" s="9" t="str">
        <x:v>Fabricante — ficha oficial</x:v>
      </x:c>
      <x:c r="C49" s="9" t="str">
        <x:v>Brasil</x:v>
      </x:c>
      <x:c r="D49" s="9" t="str">
        <x:v>Royal Enfield Meteor 350 — rodas de liga (Não delimitado na fonte)</x:v>
      </x:c>
      <x:c r="E49" s="18" t="str">
        <x:v>https://royalenfield.com.br/motocicletas/meteor-350</x:v>
      </x:c>
      <x:c r="F49" s="9" t="str">
        <x:v>06/09/2026</x:v>
      </x:c>
    </x:row>
    <x:row r="50" ht="70" customHeight="1">
      <x:c r="A50" s="10" t="str">
        <x:v>S046</x:v>
      </x:c>
      <x:c r="B50" s="10" t="str">
        <x:v>Fabricante — ficha oficial</x:v>
      </x:c>
      <x:c r="C50" s="10" t="str">
        <x:v>Brasil</x:v>
      </x:c>
      <x:c r="D50" s="10" t="str">
        <x:v>Royal Enfield Super Meteor 650 (Não delimitado na fonte)</x:v>
      </x:c>
      <x:c r="E50" s="19" t="str">
        <x:v>https://www.royalenfield.com/content/dam/open-pdf/royal-enfield-super-meteor-650-technical-specifications-portuguese.pdf</x:v>
      </x:c>
      <x:c r="F50" s="10" t="str">
        <x:v>06/09/2026</x:v>
      </x:c>
    </x:row>
    <x:row r="51" ht="70" customHeight="1">
      <x:c r="A51" s="9" t="str">
        <x:v>S047</x:v>
      </x:c>
      <x:c r="B51" s="9" t="str">
        <x:v>Fabricante — ficha oficial</x:v>
      </x:c>
      <x:c r="C51" s="9" t="str">
        <x:v>Brasil</x:v>
      </x:c>
      <x:c r="D51" s="9" t="str">
        <x:v>Royal Enfield Shotgun 650 (Não delimitado na fonte)</x:v>
      </x:c>
      <x:c r="E51" s="18" t="str">
        <x:v>https://www.royalenfield.com/content/dam/open-pdf/royal-enfield-shotgun-650-technical-specification-brazil.pdf</x:v>
      </x:c>
      <x:c r="F51" s="9" t="str">
        <x:v>06/09/2026</x:v>
      </x:c>
    </x:row>
    <x:row r="52" ht="70" customHeight="1">
      <x:c r="A52" s="10" t="str">
        <x:v>S048</x:v>
      </x:c>
      <x:c r="B52" s="10" t="str">
        <x:v>Fabricante — ficha oficial</x:v>
      </x:c>
      <x:c r="C52" s="10" t="str">
        <x:v>Brasil</x:v>
      </x:c>
      <x:c r="D52" s="10" t="str">
        <x:v>Royal Enfield Guerrilla 450 (Não delimitado na fonte)</x:v>
      </x:c>
      <x:c r="E52" s="19" t="str">
        <x:v>https://www.royalenfield.com/content/dam/open-pdf/royal-enfield-guerrilla-450-technical-specifications-brazil.pdf</x:v>
      </x:c>
      <x:c r="F52" s="10" t="str">
        <x:v>06/09/2026</x:v>
      </x:c>
    </x:row>
    <x:row r="53" ht="70" customHeight="1">
      <x:c r="A53" s="9" t="str">
        <x:v>S049</x:v>
      </x:c>
      <x:c r="B53" s="9" t="str">
        <x:v>Fabricante — ficha oficial</x:v>
      </x:c>
      <x:c r="C53" s="9" t="str">
        <x:v>Brasil</x:v>
      </x:c>
      <x:c r="D53" s="9" t="str">
        <x:v>Royal Enfield Bear 650 (Não delimitado na fonte)</x:v>
      </x:c>
      <x:c r="E53" s="18" t="str">
        <x:v>https://www.royalenfield.com/content/dam/open-pdf/royal-enfield-bear-650-technical-specifications-brazil.pdf</x:v>
      </x:c>
      <x:c r="F53" s="9" t="str">
        <x:v>06/09/2026</x:v>
      </x:c>
    </x:row>
    <x:row r="54" ht="70" customHeight="1">
      <x:c r="A54" s="10" t="str">
        <x:v>S050</x:v>
      </x:c>
      <x:c r="B54" s="10" t="str">
        <x:v>Fabricante — manual oficial</x:v>
      </x:c>
      <x:c r="C54" s="10" t="str">
        <x:v>Brasil</x:v>
      </x:c>
      <x:c r="D54" s="10" t="str">
        <x:v>Royal Enfield Himalayan 411 (Não delimitado na fonte)</x:v>
      </x:c>
      <x:c r="E54" s="19" t="str">
        <x:v>https://www.royalenfield.com/content/dam/royal-enfield/brazil/support/owners-manual/pdf/himalayan-brazil.pdf</x:v>
      </x:c>
      <x:c r="F54" s="10" t="str">
        <x:v>06/09/2026</x:v>
      </x:c>
    </x:row>
    <x:row r="55" ht="70" customHeight="1">
      <x:c r="A55" s="9" t="str">
        <x:v>S051</x:v>
      </x:c>
      <x:c r="B55" s="9" t="str">
        <x:v>Fabricante — manual oficial</x:v>
      </x:c>
      <x:c r="C55" s="9" t="str">
        <x:v>Brasil</x:v>
      </x:c>
      <x:c r="D55" s="9" t="str">
        <x:v>Royal Enfield Himalayan 450 (Não delimitado na fonte)</x:v>
      </x:c>
      <x:c r="E55" s="18" t="str">
        <x:v>https://www.royalenfield.com/content/dam/open-pdf/royal-enfield-new-himalyan-450-owners-manual-br.pdf</x:v>
      </x:c>
      <x:c r="F55" s="9" t="str">
        <x:v>06/09/2026</x:v>
      </x:c>
    </x:row>
    <x:row r="56" ht="70" customHeight="1">
      <x:c r="A56" s="10" t="str">
        <x:v>S052</x:v>
      </x:c>
      <x:c r="B56" s="10" t="str">
        <x:v>Fabricante — manual oficial</x:v>
      </x:c>
      <x:c r="C56" s="10" t="str">
        <x:v>Exterior — validar versão brasileira</x:v>
      </x:c>
      <x:c r="D56" s="10" t="str">
        <x:v>Royal Enfield Scram 411 (Manual internacional, ano não delimitado)</x:v>
      </x:c>
      <x:c r="E56" s="19" t="str">
        <x:v>https://www.royalenfield.com/content/dam/royal-enfield/india/support/owners-manual/pdf/scram-411.pdf</x:v>
      </x:c>
      <x:c r="F56" s="10" t="str">
        <x:v>06/09/2026</x:v>
      </x:c>
    </x:row>
    <x:row r="57" ht="70" customHeight="1">
      <x:c r="A57" s="9" t="str">
        <x:v>S053</x:v>
      </x:c>
      <x:c r="B57" s="9" t="str">
        <x:v>Fabricante — ficha oficial</x:v>
      </x:c>
      <x:c r="C57" s="9" t="str">
        <x:v>Exterior — validar versão brasileira</x:v>
      </x:c>
      <x:c r="D57" s="9" t="str">
        <x:v>Royal Enfield Interceptor 650 (Ficha Reino Unido, ano não delimitado)</x:v>
      </x:c>
      <x:c r="E57" s="18" t="str">
        <x:v>https://www.royalenfield.com/content/dam/royal-enfield/united-kingdom/motorcycles/interceptor/specifications/interceptor-specs.pdf</x:v>
      </x:c>
      <x:c r="F57" s="9" t="str">
        <x:v>06/09/2026</x:v>
      </x:c>
    </x:row>
    <x:row r="58" ht="70" customHeight="1">
      <x:c r="A58" s="10" t="str">
        <x:v>S054</x:v>
      </x:c>
      <x:c r="B58" s="10" t="str">
        <x:v>Fabricante — ficha oficial</x:v>
      </x:c>
      <x:c r="C58" s="10" t="str">
        <x:v>Brasil</x:v>
      </x:c>
      <x:c r="D58" s="10" t="str">
        <x:v>Royal Enfield Classic 350 (Não delimitado na fonte)</x:v>
      </x:c>
      <x:c r="E58" s="19" t="str">
        <x:v>https://royalenfield.com.br/motocicletas/classic-350</x:v>
      </x:c>
      <x:c r="F58" s="10" t="str">
        <x:v>06/09/2026</x:v>
      </x:c>
    </x:row>
    <x:row r="59" ht="70" customHeight="1">
      <x:c r="A59" s="9" t="str">
        <x:v>S055</x:v>
      </x:c>
      <x:c r="B59" s="9" t="str">
        <x:v>Fabricante — fonte complementar</x:v>
      </x:c>
      <x:c r="C59" s="9" t="str">
        <x:v>Consultar observação</x:v>
      </x:c>
      <x:c r="D59" s="9" t="str">
        <x:v>Royal Enfield Classic 350 (Não delimitado na fonte)</x:v>
      </x:c>
      <x:c r="E59" s="18" t="str">
        <x:v>https://www.royalenfield.com/content/dam/open-pdf/royal-enfield-classic-350-owners-manual-english-united-kingdom.pdf</x:v>
      </x:c>
      <x:c r="F59" s="9" t="str">
        <x:v>06/09/2026</x:v>
      </x:c>
    </x:row>
    <x:row r="60" ht="70" customHeight="1">
      <x:c r="A60" s="10" t="str">
        <x:v>S056</x:v>
      </x:c>
      <x:c r="B60" s="10" t="str">
        <x:v>Fabricante — manual oficial</x:v>
      </x:c>
      <x:c r="C60" s="10" t="str">
        <x:v>Brasil</x:v>
      </x:c>
      <x:c r="D60" s="10" t="str">
        <x:v>Dafra / SYM Citycom S 300i CBS (Não delimitado na fonte)</x:v>
      </x:c>
      <x:c r="E60" s="19" t="str">
        <x:v>https://www.daframotos.com.br/documentos/pos-vendas-dafra-motos-manual-proprietario-citycom-s-300i-cbs.pdf</x:v>
      </x:c>
      <x:c r="F60" s="10" t="str">
        <x:v>06/09/2026</x:v>
      </x:c>
    </x:row>
    <x:row r="61" ht="70" customHeight="1">
      <x:c r="A61" s="9" t="str">
        <x:v>S057</x:v>
      </x:c>
      <x:c r="B61" s="9" t="str">
        <x:v>Fabricante — manual oficial</x:v>
      </x:c>
      <x:c r="C61" s="9" t="str">
        <x:v>Brasil</x:v>
      </x:c>
      <x:c r="D61" s="9" t="str">
        <x:v>Dafra / SYM Citycom HD 300 (Não delimitado na fonte)</x:v>
      </x:c>
      <x:c r="E61" s="18" t="str">
        <x:v>https://www.daframotos.com.br/documentos/pos-vendas-dafra-motos-manual-proprietario-citycom-hd-300.pdf</x:v>
      </x:c>
      <x:c r="F61" s="9" t="str">
        <x:v>06/09/2026</x:v>
      </x:c>
    </x:row>
    <x:row r="62" ht="70" customHeight="1">
      <x:c r="A62" s="10" t="str">
        <x:v>S058</x:v>
      </x:c>
      <x:c r="B62" s="10" t="str">
        <x:v>Fabricante — manual oficial</x:v>
      </x:c>
      <x:c r="C62" s="10" t="str">
        <x:v>Brasil</x:v>
      </x:c>
      <x:c r="D62" s="10" t="str">
        <x:v>Dafra / SYM Maxsym 400i (Não delimitado na fonte)</x:v>
      </x:c>
      <x:c r="E62" s="19" t="str">
        <x:v>https://www.daframotos.com.br/documentos/pos-vendas-dafra-motos-manual-proprietario-maxsym-400i.pdf</x:v>
      </x:c>
      <x:c r="F62" s="10" t="str">
        <x:v>06/09/2026</x:v>
      </x:c>
    </x:row>
    <x:row r="63" ht="70" customHeight="1">
      <x:c r="A63" s="9" t="str">
        <x:v>S059</x:v>
      </x:c>
      <x:c r="B63" s="9" t="str">
        <x:v>Fabricante — ficha oficial</x:v>
      </x:c>
      <x:c r="C63" s="9" t="str">
        <x:v>Brasil</x:v>
      </x:c>
      <x:c r="D63" s="9" t="str">
        <x:v>Dafra / SYM Maxsym 400 GT (2027)</x:v>
      </x:c>
      <x:c r="E63" s="18" t="str">
        <x:v>https://daframotos.com.br/maxsym-400-gt-lp/</x:v>
      </x:c>
      <x:c r="F63" s="9" t="str">
        <x:v>06/09/2026</x:v>
      </x:c>
    </x:row>
    <x:row r="64" ht="70" customHeight="1">
      <x:c r="A64" s="10" t="str">
        <x:v>S060</x:v>
      </x:c>
      <x:c r="B64" s="10" t="str">
        <x:v>Fabricante — ficha oficial</x:v>
      </x:c>
      <x:c r="C64" s="10" t="str">
        <x:v>Brasil</x:v>
      </x:c>
      <x:c r="D64" s="10" t="str">
        <x:v>Dafra / SYM Maxsym 400 GT (2026 — página comercial)</x:v>
      </x:c>
      <x:c r="E64" s="19" t="str">
        <x:v>https://www.daframotos.com.br/maxsym-400/</x:v>
      </x:c>
      <x:c r="F64" s="10" t="str">
        <x:v>06/09/2026</x:v>
      </x:c>
    </x:row>
    <x:row r="65" ht="70" customHeight="1">
      <x:c r="A65" s="9" t="str">
        <x:v>S061</x:v>
      </x:c>
      <x:c r="B65" s="9" t="str">
        <x:v>Fabricante — fonte complementar</x:v>
      </x:c>
      <x:c r="C65" s="9" t="str">
        <x:v>Consultar observação</x:v>
      </x:c>
      <x:c r="D65" s="9" t="str">
        <x:v>Dafra / SYM Maxsym 400 GT (2026 — página comercial)</x:v>
      </x:c>
      <x:c r="E65" s="18" t="str">
        <x:v>https://daframotos.com.br/documentos/pos-vendas-dafra-motos-manual-proprietario-maxsym-400-gt.PDF</x:v>
      </x:c>
      <x:c r="F65" s="9" t="str">
        <x:v>06/09/2026</x:v>
      </x:c>
    </x:row>
    <x:row r="66" ht="70" customHeight="1">
      <x:c r="A66" s="10" t="str">
        <x:v>S062</x:v>
      </x:c>
      <x:c r="B66" s="10" t="str">
        <x:v>Fabricante — ficha oficial</x:v>
      </x:c>
      <x:c r="C66" s="10" t="str">
        <x:v>Brasil</x:v>
      </x:c>
      <x:c r="D66" s="10" t="str">
        <x:v>Dafra / SYM Joyride 300 (2025)</x:v>
      </x:c>
      <x:c r="E66" s="19" t="str">
        <x:v>https://www.daframotos.com.br/joyride-300/</x:v>
      </x:c>
      <x:c r="F66" s="10" t="str">
        <x:v>06/09/2026</x:v>
      </x:c>
    </x:row>
    <x:row r="67" ht="70" customHeight="1">
      <x:c r="A67" s="9" t="str">
        <x:v>S063</x:v>
      </x:c>
      <x:c r="B67" s="9" t="str">
        <x:v>Fabricante — ficha oficial</x:v>
      </x:c>
      <x:c r="C67" s="9" t="str">
        <x:v>Brasil</x:v>
      </x:c>
      <x:c r="D67" s="9" t="str">
        <x:v>Dafra / SYM Joyride 300 (2027)</x:v>
      </x:c>
      <x:c r="E67" s="18" t="str">
        <x:v>https://daframotos.com.br/joyride-300-lp/</x:v>
      </x:c>
      <x:c r="F67" s="9" t="str">
        <x:v>06/09/2026</x:v>
      </x:c>
    </x:row>
    <x:row r="68" ht="70" customHeight="1">
      <x:c r="A68" s="10" t="str">
        <x:v>S064</x:v>
      </x:c>
      <x:c r="B68" s="10" t="str">
        <x:v>Fabricante — ficha oficial</x:v>
      </x:c>
      <x:c r="C68" s="10" t="str">
        <x:v>Brasil</x:v>
      </x:c>
      <x:c r="D68" s="10" t="str">
        <x:v>Dafra / SYM Cruisym 300 (2027)</x:v>
      </x:c>
      <x:c r="E68" s="19" t="str">
        <x:v>https://daframotos.com.br/cruisym-300-lp/</x:v>
      </x:c>
      <x:c r="F68" s="10" t="str">
        <x:v>06/09/2026</x:v>
      </x:c>
    </x:row>
    <x:row r="69" ht="70" customHeight="1">
      <x:c r="A69" s="9" t="str">
        <x:v>S065</x:v>
      </x:c>
      <x:c r="B69" s="9" t="str">
        <x:v>Fabricante — ficha oficial</x:v>
      </x:c>
      <x:c r="C69" s="9" t="str">
        <x:v>Brasil</x:v>
      </x:c>
      <x:c r="D69" s="9" t="str">
        <x:v>Dafra / SYM Cruisym 150 (Não delimitado na fonte)</x:v>
      </x:c>
      <x:c r="E69" s="18" t="str">
        <x:v>https://daframotos.com.br/cruisym-150-lp/</x:v>
      </x:c>
      <x:c r="F69" s="9" t="str">
        <x:v>06/09/2026</x:v>
      </x:c>
    </x:row>
    <x:row r="70" ht="70" customHeight="1">
      <x:c r="A70" s="10" t="str">
        <x:v>S066</x:v>
      </x:c>
      <x:c r="B70" s="10" t="str">
        <x:v>Fabricante — ficha oficial</x:v>
      </x:c>
      <x:c r="C70" s="10" t="str">
        <x:v>Brasil</x:v>
      </x:c>
      <x:c r="D70" s="10" t="str">
        <x:v>Dafra / SYM NH 190 (Não delimitado na fonte)</x:v>
      </x:c>
      <x:c r="E70" s="19" t="str">
        <x:v>https://daframotos.com.br/nh-190-lp/</x:v>
      </x:c>
      <x:c r="F70" s="10" t="str">
        <x:v>06/09/2026</x:v>
      </x:c>
    </x:row>
    <x:row r="71" ht="70" customHeight="1">
      <x:c r="A71" s="9" t="str">
        <x:v>S067</x:v>
      </x:c>
      <x:c r="B71" s="9" t="str">
        <x:v>Fabricante — manual oficial</x:v>
      </x:c>
      <x:c r="C71" s="9" t="str">
        <x:v>Brasil</x:v>
      </x:c>
      <x:c r="D71" s="9" t="str">
        <x:v>Haojue Lindy 125 (Não delimitado na fonte)</x:v>
      </x:c>
      <x:c r="E71" s="18" t="str">
        <x:v>https://haojuemotos.com.br/storage/manual-proprietario/MANUAL-DO-PROPRIETARIO-HAOJUE-LINDYQ.pdf</x:v>
      </x:c>
      <x:c r="F71" s="9" t="str">
        <x:v>06/09/2026</x:v>
      </x:c>
    </x:row>
    <x:row r="72" ht="70" customHeight="1">
      <x:c r="A72" s="10" t="str">
        <x:v>S068</x:v>
      </x:c>
      <x:c r="B72" s="10" t="str">
        <x:v>Fabricante — manual oficial</x:v>
      </x:c>
      <x:c r="C72" s="10" t="str">
        <x:v>Brasil</x:v>
      </x:c>
      <x:c r="D72" s="10" t="str">
        <x:v>Haojue Chopper Road 150 (Não delimitado na fonte)</x:v>
      </x:c>
      <x:c r="E72" s="19" t="str">
        <x:v>https://haojuemotos.com.br/storage/manual-proprietario/MANUAL-DO-PROPRIETARIO-HAOJUE-CHOPPERRC-RL-RH.pdf</x:v>
      </x:c>
      <x:c r="F72" s="10" t="str">
        <x:v>06/09/2026</x:v>
      </x:c>
    </x:row>
    <x:row r="73" ht="70" customHeight="1">
      <x:c r="A73" s="9" t="str">
        <x:v>S069</x:v>
      </x:c>
      <x:c r="B73" s="9" t="str">
        <x:v>Fabricante — ficha oficial</x:v>
      </x:c>
      <x:c r="C73" s="9" t="str">
        <x:v>Brasil</x:v>
      </x:c>
      <x:c r="D73" s="9" t="str">
        <x:v>Haojue DR 160 (Não delimitado na fonte)</x:v>
      </x:c>
      <x:c r="E73" s="18" t="str">
        <x:v>https://haojuemotos.com.br/dr160</x:v>
      </x:c>
      <x:c r="F73" s="9" t="str">
        <x:v>06/09/2026</x:v>
      </x:c>
    </x:row>
    <x:row r="74" ht="70" customHeight="1">
      <x:c r="A74" s="10" t="str">
        <x:v>S070</x:v>
      </x:c>
      <x:c r="B74" s="10" t="str">
        <x:v>Fabricante — ficha oficial</x:v>
      </x:c>
      <x:c r="C74" s="10" t="str">
        <x:v>Brasil</x:v>
      </x:c>
      <x:c r="D74" s="10" t="str">
        <x:v>Kymco Downtown 350i (Não delimitado na fonte)</x:v>
      </x:c>
      <x:c r="E74" s="19" t="str">
        <x:v>https://kymcomotos.com.br/downtown-350i</x:v>
      </x:c>
      <x:c r="F74" s="10" t="str">
        <x:v>06/09/2026</x:v>
      </x:c>
    </x:row>
    <x:row r="75" ht="70" customHeight="1">
      <x:c r="A75" s="9" t="str">
        <x:v>S071</x:v>
      </x:c>
      <x:c r="B75" s="9" t="str">
        <x:v>Fabricante — ficha oficial</x:v>
      </x:c>
      <x:c r="C75" s="9" t="str">
        <x:v>Brasil</x:v>
      </x:c>
      <x:c r="D75" s="9" t="str">
        <x:v>Kawasaki Z650 (2026)</x:v>
      </x:c>
      <x:c r="E75" s="18" t="str">
        <x:v>https://www.kawasakibrasil.com/pt_br/motorcycles/z/z650-2026.html</x:v>
      </x:c>
      <x:c r="F75" s="9" t="str">
        <x:v>06/09/2026</x:v>
      </x:c>
    </x:row>
    <x:row r="76" ht="70" customHeight="1">
      <x:c r="A76" s="10" t="str">
        <x:v>S072</x:v>
      </x:c>
      <x:c r="B76" s="10" t="str">
        <x:v>Fabricante — ficha oficial</x:v>
      </x:c>
      <x:c r="C76" s="10" t="str">
        <x:v>Brasil</x:v>
      </x:c>
      <x:c r="D76" s="10" t="str">
        <x:v>Kawasaki Vulcan S Café (2026)</x:v>
      </x:c>
      <x:c r="E76" s="19" t="str">
        <x:v>https://www.kawasakibrasil.com/pt_br/motorcycles/vulcan/vulcan-s-cafe-2026.html</x:v>
      </x:c>
      <x:c r="F76" s="10" t="str">
        <x:v>06/09/2026</x:v>
      </x:c>
    </x:row>
    <x:row r="77" ht="70" customHeight="1">
      <x:c r="A77" s="9" t="str">
        <x:v>S073</x:v>
      </x:c>
      <x:c r="B77" s="9" t="str">
        <x:v>Fabricante — ficha oficial</x:v>
      </x:c>
      <x:c r="C77" s="9" t="str">
        <x:v>Brasil</x:v>
      </x:c>
      <x:c r="D77" s="9" t="str">
        <x:v>Kawasaki Z900 (2026)</x:v>
      </x:c>
      <x:c r="E77" s="18" t="str">
        <x:v>https://www.kawasakibrasil.com/pt_br/motorcycles/z/z900-2026.html</x:v>
      </x:c>
      <x:c r="F77" s="9" t="str">
        <x:v>06/09/2026</x:v>
      </x:c>
    </x:row>
    <x:row r="78" ht="70" customHeight="1">
      <x:c r="A78" s="10" t="str">
        <x:v>S074</x:v>
      </x:c>
      <x:c r="B78" s="10" t="str">
        <x:v>Fabricante — ficha oficial</x:v>
      </x:c>
      <x:c r="C78" s="10" t="str">
        <x:v>Brasil</x:v>
      </x:c>
      <x:c r="D78" s="10" t="str">
        <x:v>BMW R 1250 GS (Não delimitado na fonte)</x:v>
      </x:c>
      <x:c r="E78" s="19" t="str">
        <x:v>https://www.bmw-motorrad.com.br/pt/models/adventure/r1250gs/technicaldata.html/1000</x:v>
      </x:c>
      <x:c r="F78" s="10" t="str">
        <x:v>06/09/2026</x:v>
      </x:c>
    </x:row>
    <x:row r="79" ht="70" customHeight="1">
      <x:c r="A79" s="9" t="str">
        <x:v>S075</x:v>
      </x:c>
      <x:c r="B79" s="9" t="str">
        <x:v>Fabricante — ficha oficial</x:v>
      </x:c>
      <x:c r="C79" s="9" t="str">
        <x:v>Brasil</x:v>
      </x:c>
      <x:c r="D79" s="9" t="str">
        <x:v>Ducati Panigale V4 / V4 S (Ficha da 7ª geração; ano não delimitado)</x:v>
      </x:c>
      <x:c r="E79" s="18" t="str">
        <x:v>https://www.ducati.com/br/pt/motos/panigale/panigale-v4/motor</x:v>
      </x:c>
      <x:c r="F79" s="9" t="str">
        <x:v>06/09/2026</x:v>
      </x:c>
    </x:row>
    <x:row r="80" ht="70" customHeight="1">
      <x:c r="A80" s="10" t="str">
        <x:v>S076</x:v>
      </x:c>
      <x:c r="B80" s="10" t="str">
        <x:v>Fabricante — manual oficial</x:v>
      </x:c>
      <x:c r="C80" s="10" t="str">
        <x:v>Brasil</x:v>
      </x:c>
      <x:c r="D80" s="10" t="str">
        <x:v>Triumph Speed 400 (Geração de lançamento 2024); Triumph Scrambler 400 X (Geração de lançamento 2024)</x:v>
      </x:c>
      <x:c r="E80" s="19" t="str">
        <x:v>https://api.triumphtechnicalinformation.com/handbooks/documents/659d64a7c48c038732b466d6/pdf</x:v>
      </x:c>
      <x:c r="F80" s="10" t="str">
        <x:v>06/09/2026</x:v>
      </x:c>
    </x:row>
    <x:row r="81" ht="70" customHeight="1">
      <x:c r="A81" s="9" t="str">
        <x:v>S077</x:v>
      </x:c>
      <x:c r="B81" s="9" t="str">
        <x:v>Fabricante — ficha oficial</x:v>
      </x:c>
      <x:c r="C81" s="9" t="str">
        <x:v>Brasil</x:v>
      </x:c>
      <x:c r="D81" s="9" t="str">
        <x:v>Triumph Scrambler 1200 X / XE (Não delimitado na fonte)</x:v>
      </x:c>
      <x:c r="E81" s="18" t="str">
        <x:v>https://www.triumphmotorcycles.com.br/motocicletas/classic/bonneville-scrambler-1200/specification</x:v>
      </x:c>
      <x:c r="F81" s="9" t="str">
        <x:v>06/09/2026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7d54abe6a6f4d2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6" hidden="0" customWidth="1"/>
    <x:col min="2" max="2" width="125" hidden="0" customWidth="1"/>
  </x:cols>
  <x:sheetData>
    <x:row r="1" ht="34" customHeight="1">
      <x:c r="A1" s="5" t="str">
        <x:v>FAREJADOR | Critérios e pendências</x:v>
      </x:c>
      <x:c r="B1" s="4"/>
    </x:row>
    <x:row r="2" ht="36" customHeight="1">
      <x:c r="A2" s="6" t="str">
        <x:v>Edição 1 • 06/09/2026 • pesquisa técnica para revisão humana, sem alteração do sistema</x:v>
      </x:c>
      <x:c r="B2" s="6"/>
    </x:row>
    <x:row r="3">
      <x:c r="A3" s="3"/>
      <x:c r="B3" s="3"/>
    </x:row>
    <x:row r="4" ht="30" customHeight="1">
      <x:c r="A4" s="8" t="str">
        <x:v>Item</x:v>
      </x:c>
      <x:c r="B4" s="8" t="str">
        <x:v>Critério / resultado</x:v>
      </x:c>
    </x:row>
    <x:row r="5" ht="48" customHeight="1">
      <x:c r="A5" s="9" t="str">
        <x:v>Escopo</x:v>
      </x:c>
      <x:c r="B5" s="9" t="str">
        <x:v>Catálogo inicial ampliado, não cadastro completo de toda a frota brasileira. São configurações de modelo/versão/ano; duas gerações da mesma moto contam separadamente. Não é ranking estatístico de vendas.</x:v>
      </x:c>
    </x:row>
    <x:row r="6" ht="48" customHeight="1">
      <x:c r="A6" s="10" t="str">
        <x:v>Importação</x:v>
      </x:c>
      <x:c r="B6" s="10" t="str">
        <x:v>Nenhuma linha foi inserida no banco. A planilha é para revisão; não executar como seed. Medida confirmada na fonte não significa que todas as condições de venda estão completas.</x:v>
      </x:c>
    </x:row>
    <x:row r="7" ht="30" customHeight="1">
      <x:c r="A7" s="9" t="str">
        <x:v>Contagem de configurações</x:v>
      </x:c>
      <x:c r="B7" s="14" t="n">
        <x:f>COUNTA('Catálogo'!I5:I87)</x:f>
        <x:v>83</x:v>
      </x:c>
    </x:row>
    <x:row r="8" ht="30" customHeight="1">
      <x:c r="A8" s="10" t="str">
        <x:v>Linhas por posição / medida</x:v>
      </x:c>
      <x:c r="B8" s="15" t="n">
        <x:f>COUNTA('Por pneu'!Q5:Q169)</x:f>
        <x:v>165</x:v>
      </x:c>
    </x:row>
    <x:row r="9" ht="30" customHeight="1">
      <x:c r="A9" s="9" t="str">
        <x:v>Fontes distintas</x:v>
      </x:c>
      <x:c r="B9" s="14" t="n">
        <x:f>COUNTA(Fontes!A5:A81)</x:f>
        <x:v>77</x:v>
      </x:c>
    </x:row>
    <x:row r="10" ht="30" customHeight="1">
      <x:c r="A10" s="10" t="str">
        <x:v>Grupos de marcas</x:v>
      </x:c>
      <x:c r="B10" s="15" t="n">
        <x:v>13</x:v>
      </x:c>
    </x:row>
    <x:row r="11" ht="48" customHeight="1">
      <x:c r="A11" s="9" t="str">
        <x:v>Aros contemplados</x:v>
      </x:c>
      <x:c r="B11" s="9" t="str">
        <x:v>10, 12, 13, 14, 15, 16, 17, 18, 19, 21</x:v>
      </x:c>
    </x:row>
    <x:row r="12" ht="48" customHeight="1">
      <x:c r="A12" s="10" t="str">
        <x:v>Confirmação na fonte</x:v>
      </x:c>
      <x:c r="B12" s="10" t="str">
        <x:v>O documento consultado informa a medida e a posição. Ano não delimitado, índice ND e montagem ND continuam exigindo confirmação antes de automatizar a recomendação.</x:v>
      </x:c>
    </x:row>
    <x:row r="13" ht="48" customHeight="1">
      <x:c r="A13" s="9" t="str">
        <x:v>Ano não delimitado</x:v>
      </x:c>
      <x:c r="B13" s="9" t="str">
        <x:v>Não assumir todos os anos. Data de consulta, upload do PDF, publicação do catálogo e anúncio de produção não são automaticamente ano-modelo.</x:v>
      </x:c>
    </x:row>
    <x:row r="14" ht="48" customHeight="1">
      <x:c r="A14" s="10" t="str">
        <x:v>Especificação do pneu</x:v>
      </x:c>
      <x:c r="B14" s="10" t="str">
        <x:v>Preservar medida completa, aro, R/ZR/B, índice de carga/velocidade, reforço quando exigido, montagem, compatibilidade do aro e sentido/eixo do SKU. Não recomendar alteração de medida sem aprovação técnica.</x:v>
      </x:c>
    </x:row>
    <x:row r="15" ht="48" customHeight="1">
      <x:c r="A15" s="9" t="str">
        <x:v>Posição e estoque</x:v>
      </x:c>
      <x:c r="B15" s="9" t="str">
        <x:v>Uma medida pode aparecer na frente de uma moto e atrás de outra. Isso não torna todo pneu dessa medida “ambos”. Posição do produto/SKU e aplicação por veículo devem permanecer separadas.</x:v>
      </x:c>
    </x:row>
    <x:row r="16" ht="48" customHeight="1">
      <x:c r="A16" s="10" t="str">
        <x:v>Polegadas</x:v>
      </x:c>
      <x:c r="B16" s="10" t="str">
        <x:v>2.75-17, 3.00-17 e 3.50-16 foram mantidos literalmente. A alternativa 90/90-17 do manual Mottu Sport ESD é específica daquele documento, não uma conversão universal.</x:v>
      </x:c>
    </x:row>
    <x:row r="17" ht="48" customHeight="1">
      <x:c r="A17" s="9" t="str">
        <x:v>Câmara / sem câmara</x:v>
      </x:c>
      <x:c r="B17" s="9" t="str">
        <x:v>ND significa não confirmado. Um pneu TL pode exigir câmara em determinado aro conforme manual. Rodas raiadas não determinam sozinhas a montagem; conferir versão.</x:v>
      </x:c>
    </x:row>
    <x:row r="18" ht="48" customHeight="1">
      <x:c r="A18" s="10" t="str">
        <x:v>Índices</x:v>
      </x:c>
      <x:c r="B18" s="10" t="str">
        <x:v>São transcrições da fonte, não uma lista de índices mínimos inferida. Parênteses e combinações por fabricante foram preservados quando disponíveis. Campos ausentes devem ser completados com manual técnico.</x:v>
      </x:c>
    </x:row>
    <x:row r="19" ht="48" customHeight="1">
      <x:c r="A19" s="9" t="str">
        <x:v>Fontes internacionais</x:v>
      </x:c>
      <x:c r="B19" s="9" t="str">
        <x:v>Seis configurações estão marcadas como referência internacional: XMAX 250, MT-07, Burgman 400 2025, Boulevard M50/M800, Scram 411 e Interceptor 650. Validar exemplar brasileiro antes de liberar.</x:v>
      </x:c>
    </x:row>
    <x:row r="20" ht="48" customHeight="1">
      <x:c r="A20" s="10" t="str">
        <x:v>Seletores de reposição</x:v>
      </x:c>
      <x:c r="B20" s="10" t="str">
        <x:v>FZ25 2022 e Burgman 400 2007 têm referência de fabricante de pneus. Conferir manual e índices exigidos; não apresentar todos os dados do seletor como especificação original de fábrica.</x:v>
      </x:c>
    </x:row>
    <x:row r="21" ht="48" customHeight="1">
      <x:c r="A21" s="9" t="str">
        <x:v>Burgman i / Lindy 125</x:v>
      </x:c>
      <x:c r="B21" s="9" t="str">
        <x:v>Manuais consultados: 90/90-10 dianteiro e 100/90-10 traseiro. Revisar vínculos legados que indiquem 90/90-10 traseiro; não alterar automaticamente sem conferir o modelo exato.</x:v>
      </x:c>
    </x:row>
    <x:row r="22" ht="48" customHeight="1">
      <x:c r="A22" s="10" t="str">
        <x:v>CB 250F versus CB 300F</x:v>
      </x:c>
      <x:c r="B22" s="10" t="str">
        <x:v>CB 250F 2019: traseiro 140/70R17. CB 300F 2025–2026: traseiro 150/60R17. Não propagar compatibilidade por semelhança de nome Twister.</x:v>
      </x:c>
    </x:row>
    <x:row r="23" ht="48" customHeight="1">
      <x:c r="A23" s="11" t="str">
        <x:v>Classic 350 — BLOQUEADO</x:v>
      </x:c>
      <x:c r="B23" s="11" t="str">
        <x:v>Ficha Brasil indica traseiro 120/80-19; manual UK indica 120/80-18 62P. Os dois links estão no catálogo. Nenhuma medida traseira foi escolhida para a aba Por pneu. Confirmar manual brasileiro e versão.</x:v>
      </x:c>
    </x:row>
    <x:row r="24" ht="48" customHeight="1">
      <x:c r="A24" s="11" t="str">
        <x:v>Maxsym GT 2026 — BLOQUEADO</x:v>
      </x:c>
      <x:c r="B24" s="11" t="str">
        <x:v>Ficha 2026 indica traseiro 160/60-14; manual GT indica 150/70-14, também presente na ficha 2027. Não escolher por suposição nem tratar como duas alternativas aprovadas.</x:v>
      </x:c>
    </x:row>
    <x:row r="25" ht="48" customHeight="1">
      <x:c r="A25" s="11" t="str">
        <x:v>DR 160 — construção pendente</x:v>
      </x:c>
      <x:c r="B25" s="11" t="str">
        <x:v>Ficha Haojue imprime R nas duas medidas. Mantida a transcrição, mas revisão do manual é obrigatória antes de etiquetar o estoque como radial.</x:v>
      </x:c>
    </x:row>
    <x:row r="26" ht="48" customHeight="1">
      <x:c r="A26" s="10" t="str">
        <x:v>Cobertura ainda aberta</x:v>
      </x:c>
      <x:c r="B26" s="10" t="str">
        <x:v>Outros anos e versões, modelos não listados, equivalências alternativas e especificações de cada SKU continuam fora do escopo desta edição. Ampliar por demanda do estoque sem reutilizar dados de outra geração.</x:v>
      </x:c>
    </x:row>
    <x:row r="27" ht="48" customHeight="1">
      <x:c r="A27" s="9" t="str">
        <x:v>Próxima etapa recomendada</x:v>
      </x:c>
      <x:c r="B27" s="9" t="str">
        <x:v>Revisar as linhas, fechar ano/versão e campos técnicos ausentes; depois cruzar com produtos reais do estoque, gerar prévia de inclusões/correções e somente então aprovar uma importação auditável.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eec9f0768fc54bb7"/>
  </x:tableParts>
</x:worksheet>
</file>